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raingFramework\Request Tracking System Excel\"/>
    </mc:Choice>
  </mc:AlternateContent>
  <xr:revisionPtr revIDLastSave="0" documentId="13_ncr:1_{FB432239-E58D-42D8-BF00-34A7D422E22F}" xr6:coauthVersionLast="47" xr6:coauthVersionMax="47" xr10:uidLastSave="{00000000-0000-0000-0000-000000000000}"/>
  <bookViews>
    <workbookView xWindow="-108" yWindow="-108" windowWidth="23256" windowHeight="12456" activeTab="1" xr2:uid="{00000000-000D-0000-FFFF-FFFF00000000}"/>
  </bookViews>
  <sheets>
    <sheet name="Tracking" sheetId="1" r:id="rId1"/>
    <sheet name="Summary" sheetId="4" r:id="rId2"/>
    <sheet name="DashBoard" sheetId="6" r:id="rId3"/>
    <sheet name="Backend" sheetId="7" r:id="rId4"/>
  </sheets>
  <definedNames>
    <definedName name="Slicer_Accounta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alcChain>
</file>

<file path=xl/sharedStrings.xml><?xml version="1.0" encoding="utf-8"?>
<sst xmlns="http://schemas.openxmlformats.org/spreadsheetml/2006/main" count="359" uniqueCount="138">
  <si>
    <t>Request ID</t>
  </si>
  <si>
    <t>Accountant</t>
  </si>
  <si>
    <t>Current Stage</t>
  </si>
  <si>
    <t>Status</t>
  </si>
  <si>
    <t>Start Date</t>
  </si>
  <si>
    <t>Last Update Date</t>
  </si>
  <si>
    <t>Number of Days</t>
  </si>
  <si>
    <t>Notes</t>
  </si>
  <si>
    <t>REQ-1002</t>
  </si>
  <si>
    <t>Request 1</t>
  </si>
  <si>
    <t>John</t>
  </si>
  <si>
    <t>Supervisor</t>
  </si>
  <si>
    <t>On Hold</t>
  </si>
  <si>
    <t>Client follow-up</t>
  </si>
  <si>
    <t>REQ-1003</t>
  </si>
  <si>
    <t>Request 2</t>
  </si>
  <si>
    <t>Sara</t>
  </si>
  <si>
    <t>Completed</t>
  </si>
  <si>
    <t>Waiting approval</t>
  </si>
  <si>
    <t>REQ-1004</t>
  </si>
  <si>
    <t>Request 3</t>
  </si>
  <si>
    <t>Pending review</t>
  </si>
  <si>
    <t>REQ-1005</t>
  </si>
  <si>
    <t>Request 4</t>
  </si>
  <si>
    <t>Noor</t>
  </si>
  <si>
    <t>Reviewer</t>
  </si>
  <si>
    <t>Completed successfully</t>
  </si>
  <si>
    <t>REQ-1006</t>
  </si>
  <si>
    <t>Request 5</t>
  </si>
  <si>
    <t>Fatima</t>
  </si>
  <si>
    <t>Bank</t>
  </si>
  <si>
    <t>In Progress</t>
  </si>
  <si>
    <t>Delayed due to issue</t>
  </si>
  <si>
    <t>REQ-1007</t>
  </si>
  <si>
    <t>Request 6</t>
  </si>
  <si>
    <t>REQ-1008</t>
  </si>
  <si>
    <t>Request 7</t>
  </si>
  <si>
    <t>REQ-1009</t>
  </si>
  <si>
    <t>Request 8</t>
  </si>
  <si>
    <t>Ali</t>
  </si>
  <si>
    <t>Under processing</t>
  </si>
  <si>
    <t>REQ-1010</t>
  </si>
  <si>
    <t>Request 9</t>
  </si>
  <si>
    <t>Audit</t>
  </si>
  <si>
    <t>REQ-1011</t>
  </si>
  <si>
    <t>Request 10</t>
  </si>
  <si>
    <t>REQ-1012</t>
  </si>
  <si>
    <t>Request 11</t>
  </si>
  <si>
    <t>Ahmed</t>
  </si>
  <si>
    <t>Budget</t>
  </si>
  <si>
    <t>REQ-1013</t>
  </si>
  <si>
    <t>Request 12</t>
  </si>
  <si>
    <t>REQ-1014</t>
  </si>
  <si>
    <t>Request 13</t>
  </si>
  <si>
    <t>REQ-1015</t>
  </si>
  <si>
    <t>Request 14</t>
  </si>
  <si>
    <t>REQ-1016</t>
  </si>
  <si>
    <t>Request 15</t>
  </si>
  <si>
    <t>REQ-1017</t>
  </si>
  <si>
    <t>Request 16</t>
  </si>
  <si>
    <t>REQ-1018</t>
  </si>
  <si>
    <t>Request 17</t>
  </si>
  <si>
    <t>REQ-1019</t>
  </si>
  <si>
    <t>Request 18</t>
  </si>
  <si>
    <t>REQ-1020</t>
  </si>
  <si>
    <t>Request 19</t>
  </si>
  <si>
    <t>REQ-1021</t>
  </si>
  <si>
    <t>Request 20</t>
  </si>
  <si>
    <t>REQ-1022</t>
  </si>
  <si>
    <t>Request 21</t>
  </si>
  <si>
    <t>REQ-1023</t>
  </si>
  <si>
    <t>Request 22</t>
  </si>
  <si>
    <t>REQ-1024</t>
  </si>
  <si>
    <t>Request 23</t>
  </si>
  <si>
    <t>REQ-1025</t>
  </si>
  <si>
    <t>Request 24</t>
  </si>
  <si>
    <t>REQ-1026</t>
  </si>
  <si>
    <t>Request 25</t>
  </si>
  <si>
    <t>REQ-1027</t>
  </si>
  <si>
    <t>Request 26</t>
  </si>
  <si>
    <t>REQ-1028</t>
  </si>
  <si>
    <t>Request 27</t>
  </si>
  <si>
    <t>REQ-1029</t>
  </si>
  <si>
    <t>Request 28</t>
  </si>
  <si>
    <t>REQ-1030</t>
  </si>
  <si>
    <t>Request 29</t>
  </si>
  <si>
    <t>REQ-1031</t>
  </si>
  <si>
    <t>Request 30</t>
  </si>
  <si>
    <t>REQ-1032</t>
  </si>
  <si>
    <t>Request 31</t>
  </si>
  <si>
    <t>REQ-1033</t>
  </si>
  <si>
    <t>Request 32</t>
  </si>
  <si>
    <t>REQ-1034</t>
  </si>
  <si>
    <t>Request 33</t>
  </si>
  <si>
    <t>REQ-1035</t>
  </si>
  <si>
    <t>Request 34</t>
  </si>
  <si>
    <t>REQ-1036</t>
  </si>
  <si>
    <t>Request 35</t>
  </si>
  <si>
    <t>REQ-1037</t>
  </si>
  <si>
    <t>Request 36</t>
  </si>
  <si>
    <t>REQ-1038</t>
  </si>
  <si>
    <t>Request 37</t>
  </si>
  <si>
    <t>REQ-1039</t>
  </si>
  <si>
    <t>Request 38</t>
  </si>
  <si>
    <t>REQ-1040</t>
  </si>
  <si>
    <t>Request 39</t>
  </si>
  <si>
    <t>REQ-1041</t>
  </si>
  <si>
    <t>Request 40</t>
  </si>
  <si>
    <t>REQ-1042</t>
  </si>
  <si>
    <t>Request 41</t>
  </si>
  <si>
    <t>REQ-1043</t>
  </si>
  <si>
    <t>Request 42</t>
  </si>
  <si>
    <t>REQ-1044</t>
  </si>
  <si>
    <t>Request 43</t>
  </si>
  <si>
    <t>REQ-1045</t>
  </si>
  <si>
    <t>Request 44</t>
  </si>
  <si>
    <t>REQ-1046</t>
  </si>
  <si>
    <t>Request 45</t>
  </si>
  <si>
    <t>REQ-1047</t>
  </si>
  <si>
    <t>Request 46</t>
  </si>
  <si>
    <t>REQ-1048</t>
  </si>
  <si>
    <t>Request 47</t>
  </si>
  <si>
    <t>REQ-1049</t>
  </si>
  <si>
    <t>Request 48</t>
  </si>
  <si>
    <t>REQ-1050</t>
  </si>
  <si>
    <t>Request 49</t>
  </si>
  <si>
    <t>Grand Total</t>
  </si>
  <si>
    <t>Requests by Stage</t>
  </si>
  <si>
    <t>Requests by Status</t>
  </si>
  <si>
    <t>Count of Status</t>
  </si>
  <si>
    <t>Performance by Accountant</t>
  </si>
  <si>
    <t>Count of Request Name</t>
  </si>
  <si>
    <t>Count</t>
  </si>
  <si>
    <t>Total Number of Request</t>
  </si>
  <si>
    <t>Request Type</t>
  </si>
  <si>
    <t>First Lieutenant</t>
  </si>
  <si>
    <t>Officer Name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</si>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</sst>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mm:ss"/>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NumberFormat="1"/>
    <xf numFmtId="0" fontId="1" fillId="2" borderId="0" xfId="0" applyFont="1" applyFill="1" applyAlignment="1">
      <alignment horizontal="center"/>
    </xf>
  </cellXfs>
  <cellStyles count="1">
    <cellStyle name="Normal" xfId="0" builtinId="0"/>
  </cellStyles>
  <dxfs count="3">
    <dxf>
      <font>
        <color theme="0"/>
      </font>
    </dxf>
    <dxf>
      <font>
        <color theme="1"/>
      </font>
    </dxf>
    <dxf>
      <numFmt numFmtId="0" formatCode="General"/>
    </dxf>
  </dxfs>
  <tableStyles count="3" defaultTableStyle="TableStyleMedium9" defaultPivotStyle="PivotStyleLight16">
    <tableStyle name="AliaDesign" table="0" count="1" xr9:uid="{46B5BF53-A36B-4E6F-9473-5A90B9CEA96F}">
      <tableStyleElement type="wholeTable" dxfId="0"/>
    </tableStyle>
    <tableStyle name="Invisible" pivot="0" table="0" count="0" xr9:uid="{911717B5-B8EF-49A0-AB8C-1DCCDFABF048}"/>
    <tableStyle name="PivotTable Style 1" table="0" count="1" xr9:uid="{CB47A6AC-EB93-4307-B02C-3B37EAFBD77C}">
      <tableStyleElement type="wholeTabl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[Request_Tracking_System.xlsx]Backend!PivotTable5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Backend!$B$11:$B$12</c:f>
              <c:strCache>
                <c:ptCount val="1"/>
                <c:pt idx="0">
                  <c:v>Completed</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dPt>
            <c:idx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noFill/>
              </a:ln>
              <a:effectLst/>
              <a:sp3d/>
            </c:spPr>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noFill/>
              </a:ln>
              <a:effectLst/>
              <a:sp3d/>
            </c:spPr>
          </c:dPt>
          <c:dPt>
            <c:idx val="2"/>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noFill/>
              </a:ln>
              <a:effectLst/>
              <a:sp3d/>
            </c:spPr>
          </c:dPt>
          <c:dPt>
            <c:idx val="3"/>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noFill/>
              </a:ln>
              <a:effectLst/>
              <a:sp3d/>
            </c:spPr>
          </c:dPt>
          <c:dPt>
            <c:idx val="4"/>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noFill/>
              </a:ln>
              <a:effectLst/>
              <a:sp3d/>
            </c:spPr>
          </c:dPt>
          <c:dPt>
            <c:idx val="5"/>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Backend!$A$13:$A$19</c:f>
              <c:strCache>
                <c:ptCount val="6"/>
                <c:pt idx="0">
                  <c:v>Ahmed</c:v>
                </c:pt>
                <c:pt idx="1">
                  <c:v>Ali</c:v>
                </c:pt>
                <c:pt idx="2">
                  <c:v>Fatima</c:v>
                </c:pt>
                <c:pt idx="3">
                  <c:v>John</c:v>
                </c:pt>
                <c:pt idx="4">
                  <c:v>Noor</c:v>
                </c:pt>
                <c:pt idx="5">
                  <c:v>Sara</c:v>
                </c:pt>
              </c:strCache>
            </c:strRef>
          </c:cat>
          <c:val>
            <c:numRef>
              <c:f>Backend!$B$13:$B$19</c:f>
              <c:numCache>
                <c:formatCode>General</c:formatCode>
                <c:ptCount val="6"/>
                <c:pt idx="0">
                  <c:v>4</c:v>
                </c:pt>
                <c:pt idx="1">
                  <c:v>2</c:v>
                </c:pt>
                <c:pt idx="2">
                  <c:v>4</c:v>
                </c:pt>
                <c:pt idx="3">
                  <c:v>4</c:v>
                </c:pt>
                <c:pt idx="5">
                  <c:v>4</c:v>
                </c:pt>
              </c:numCache>
            </c:numRef>
          </c:val>
          <c:extLst>
            <c:ext xmlns:c16="http://schemas.microsoft.com/office/drawing/2014/chart" uri="{C3380CC4-5D6E-409C-BE32-E72D297353CC}">
              <c16:uniqueId val="{00000000-CD9C-433B-8ADE-E3E1E1AE48F8}"/>
            </c:ext>
          </c:extLst>
        </c:ser>
        <c:ser>
          <c:idx val="1"/>
          <c:order val="1"/>
          <c:tx>
            <c:strRef>
              <c:f>Backend!$C$11:$C$12</c:f>
              <c:strCache>
                <c:ptCount val="1"/>
                <c:pt idx="0">
                  <c:v>In Progress</c:v>
                </c:pt>
              </c:strCache>
            </c:strRef>
          </c:tx>
          <c:dPt>
            <c:idx val="0"/>
            <c:bubble3D val="0"/>
            <c:spPr>
              <a:solidFill>
                <a:schemeClr val="accent1"/>
              </a:solidFill>
              <a:ln w="19050">
                <a:solidFill>
                  <a:schemeClr val="lt1"/>
                </a:solidFill>
              </a:ln>
              <a:effectLst/>
              <a:sp3d contourW="19050">
                <a:contourClr>
                  <a:schemeClr val="lt1"/>
                </a:contourClr>
              </a:sp3d>
            </c:spPr>
          </c:dPt>
          <c:dPt>
            <c:idx val="1"/>
            <c:bubble3D val="0"/>
            <c:spPr>
              <a:solidFill>
                <a:schemeClr val="accent2"/>
              </a:solidFill>
              <a:ln w="19050">
                <a:solidFill>
                  <a:schemeClr val="lt1"/>
                </a:solidFill>
              </a:ln>
              <a:effectLst/>
              <a:sp3d contourW="19050">
                <a:contourClr>
                  <a:schemeClr val="lt1"/>
                </a:contourClr>
              </a:sp3d>
            </c:spPr>
          </c:dPt>
          <c:dPt>
            <c:idx val="2"/>
            <c:bubble3D val="0"/>
            <c:spPr>
              <a:solidFill>
                <a:schemeClr val="accent3"/>
              </a:solidFill>
              <a:ln w="19050">
                <a:solidFill>
                  <a:schemeClr val="lt1"/>
                </a:solidFill>
              </a:ln>
              <a:effectLst/>
              <a:sp3d contourW="19050">
                <a:contourClr>
                  <a:schemeClr val="lt1"/>
                </a:contourClr>
              </a:sp3d>
            </c:spPr>
          </c:dPt>
          <c:dPt>
            <c:idx val="3"/>
            <c:bubble3D val="0"/>
            <c:spPr>
              <a:solidFill>
                <a:schemeClr val="accent4"/>
              </a:solidFill>
              <a:ln w="19050">
                <a:solidFill>
                  <a:schemeClr val="lt1"/>
                </a:solidFill>
              </a:ln>
              <a:effectLst/>
              <a:sp3d contourW="19050">
                <a:contourClr>
                  <a:schemeClr val="lt1"/>
                </a:contourClr>
              </a:sp3d>
            </c:spPr>
          </c:dPt>
          <c:dPt>
            <c:idx val="4"/>
            <c:bubble3D val="0"/>
            <c:spPr>
              <a:solidFill>
                <a:schemeClr val="accent5"/>
              </a:solidFill>
              <a:ln w="19050">
                <a:solidFill>
                  <a:schemeClr val="lt1"/>
                </a:solidFill>
              </a:ln>
              <a:effectLst/>
              <a:sp3d contourW="19050">
                <a:contourClr>
                  <a:schemeClr val="lt1"/>
                </a:contourClr>
              </a:sp3d>
            </c:spPr>
          </c:dPt>
          <c:dPt>
            <c:idx val="5"/>
            <c:bubble3D val="0"/>
            <c:spPr>
              <a:solidFill>
                <a:schemeClr val="accent6"/>
              </a:solidFill>
              <a:ln w="19050">
                <a:solidFill>
                  <a:schemeClr val="lt1"/>
                </a:solidFill>
              </a:ln>
              <a:effectLst/>
              <a:sp3d contourW="1905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Backend!$A$13:$A$19</c:f>
              <c:strCache>
                <c:ptCount val="6"/>
                <c:pt idx="0">
                  <c:v>Ahmed</c:v>
                </c:pt>
                <c:pt idx="1">
                  <c:v>Ali</c:v>
                </c:pt>
                <c:pt idx="2">
                  <c:v>Fatima</c:v>
                </c:pt>
                <c:pt idx="3">
                  <c:v>John</c:v>
                </c:pt>
                <c:pt idx="4">
                  <c:v>Noor</c:v>
                </c:pt>
                <c:pt idx="5">
                  <c:v>Sara</c:v>
                </c:pt>
              </c:strCache>
            </c:strRef>
          </c:cat>
          <c:val>
            <c:numRef>
              <c:f>Backend!$C$13:$C$19</c:f>
              <c:numCache>
                <c:formatCode>General</c:formatCode>
                <c:ptCount val="6"/>
                <c:pt idx="0">
                  <c:v>4</c:v>
                </c:pt>
                <c:pt idx="1">
                  <c:v>3</c:v>
                </c:pt>
                <c:pt idx="2">
                  <c:v>2</c:v>
                </c:pt>
                <c:pt idx="3">
                  <c:v>2</c:v>
                </c:pt>
                <c:pt idx="4">
                  <c:v>1</c:v>
                </c:pt>
                <c:pt idx="5">
                  <c:v>1</c:v>
                </c:pt>
              </c:numCache>
            </c:numRef>
          </c:val>
          <c:extLst>
            <c:ext xmlns:c16="http://schemas.microsoft.com/office/drawing/2014/chart" uri="{C3380CC4-5D6E-409C-BE32-E72D297353CC}">
              <c16:uniqueId val="{00000001-CD9C-433B-8ADE-E3E1E1AE48F8}"/>
            </c:ext>
          </c:extLst>
        </c:ser>
        <c:ser>
          <c:idx val="2"/>
          <c:order val="2"/>
          <c:tx>
            <c:strRef>
              <c:f>Backend!$D$11:$D$12</c:f>
              <c:strCache>
                <c:ptCount val="1"/>
                <c:pt idx="0">
                  <c:v>On Hold</c:v>
                </c:pt>
              </c:strCache>
            </c:strRef>
          </c:tx>
          <c:dPt>
            <c:idx val="0"/>
            <c:bubble3D val="0"/>
            <c:spPr>
              <a:solidFill>
                <a:schemeClr val="accent1"/>
              </a:solidFill>
              <a:ln w="19050">
                <a:solidFill>
                  <a:schemeClr val="lt1"/>
                </a:solidFill>
              </a:ln>
              <a:effectLst/>
              <a:sp3d contourW="19050">
                <a:contourClr>
                  <a:schemeClr val="lt1"/>
                </a:contourClr>
              </a:sp3d>
            </c:spPr>
          </c:dPt>
          <c:dPt>
            <c:idx val="1"/>
            <c:bubble3D val="0"/>
            <c:spPr>
              <a:solidFill>
                <a:schemeClr val="accent2"/>
              </a:solidFill>
              <a:ln w="19050">
                <a:solidFill>
                  <a:schemeClr val="lt1"/>
                </a:solidFill>
              </a:ln>
              <a:effectLst/>
              <a:sp3d contourW="19050">
                <a:contourClr>
                  <a:schemeClr val="lt1"/>
                </a:contourClr>
              </a:sp3d>
            </c:spPr>
          </c:dPt>
          <c:dPt>
            <c:idx val="2"/>
            <c:bubble3D val="0"/>
            <c:spPr>
              <a:solidFill>
                <a:schemeClr val="accent3"/>
              </a:solidFill>
              <a:ln w="19050">
                <a:solidFill>
                  <a:schemeClr val="lt1"/>
                </a:solidFill>
              </a:ln>
              <a:effectLst/>
              <a:sp3d contourW="19050">
                <a:contourClr>
                  <a:schemeClr val="lt1"/>
                </a:contourClr>
              </a:sp3d>
            </c:spPr>
          </c:dPt>
          <c:dPt>
            <c:idx val="3"/>
            <c:bubble3D val="0"/>
            <c:spPr>
              <a:solidFill>
                <a:schemeClr val="accent4"/>
              </a:solidFill>
              <a:ln w="19050">
                <a:solidFill>
                  <a:schemeClr val="lt1"/>
                </a:solidFill>
              </a:ln>
              <a:effectLst/>
              <a:sp3d contourW="19050">
                <a:contourClr>
                  <a:schemeClr val="lt1"/>
                </a:contourClr>
              </a:sp3d>
            </c:spPr>
          </c:dPt>
          <c:dPt>
            <c:idx val="4"/>
            <c:bubble3D val="0"/>
            <c:spPr>
              <a:solidFill>
                <a:schemeClr val="accent5"/>
              </a:solidFill>
              <a:ln w="19050">
                <a:solidFill>
                  <a:schemeClr val="lt1"/>
                </a:solidFill>
              </a:ln>
              <a:effectLst/>
              <a:sp3d contourW="19050">
                <a:contourClr>
                  <a:schemeClr val="lt1"/>
                </a:contourClr>
              </a:sp3d>
            </c:spPr>
          </c:dPt>
          <c:dPt>
            <c:idx val="5"/>
            <c:bubble3D val="0"/>
            <c:spPr>
              <a:solidFill>
                <a:schemeClr val="accent6"/>
              </a:solidFill>
              <a:ln w="19050">
                <a:solidFill>
                  <a:schemeClr val="lt1"/>
                </a:solidFill>
              </a:ln>
              <a:effectLst/>
              <a:sp3d contourW="1905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Backend!$A$13:$A$19</c:f>
              <c:strCache>
                <c:ptCount val="6"/>
                <c:pt idx="0">
                  <c:v>Ahmed</c:v>
                </c:pt>
                <c:pt idx="1">
                  <c:v>Ali</c:v>
                </c:pt>
                <c:pt idx="2">
                  <c:v>Fatima</c:v>
                </c:pt>
                <c:pt idx="3">
                  <c:v>John</c:v>
                </c:pt>
                <c:pt idx="4">
                  <c:v>Noor</c:v>
                </c:pt>
                <c:pt idx="5">
                  <c:v>Sara</c:v>
                </c:pt>
              </c:strCache>
            </c:strRef>
          </c:cat>
          <c:val>
            <c:numRef>
              <c:f>Backend!$D$13:$D$19</c:f>
              <c:numCache>
                <c:formatCode>General</c:formatCode>
                <c:ptCount val="6"/>
                <c:pt idx="0">
                  <c:v>2</c:v>
                </c:pt>
                <c:pt idx="1">
                  <c:v>1</c:v>
                </c:pt>
                <c:pt idx="2">
                  <c:v>3</c:v>
                </c:pt>
                <c:pt idx="3">
                  <c:v>8</c:v>
                </c:pt>
                <c:pt idx="4">
                  <c:v>3</c:v>
                </c:pt>
                <c:pt idx="5">
                  <c:v>1</c:v>
                </c:pt>
              </c:numCache>
            </c:numRef>
          </c:val>
          <c:extLst>
            <c:ext xmlns:c16="http://schemas.microsoft.com/office/drawing/2014/chart" uri="{C3380CC4-5D6E-409C-BE32-E72D297353CC}">
              <c16:uniqueId val="{00000002-CD9C-433B-8ADE-E3E1E1AE48F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[Request_Tracking_System.xlsx]Backend!PivotTable4</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spPr>
          <a:solidFill>
            <a:schemeClr val="accent2"/>
          </a:soli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5426991117636E-2"/>
          <c:y val="0.23315586342846381"/>
          <c:w val="0.91768094666132838"/>
          <c:h val="0.64033993377410103"/>
        </c:manualLayout>
      </c:layout>
      <c:barChart>
        <c:barDir val="col"/>
        <c:grouping val="clustered"/>
        <c:varyColors val="0"/>
        <c:ser>
          <c:idx val="0"/>
          <c:order val="0"/>
          <c:tx>
            <c:strRef>
              <c:f>Backend!$B$1:$B$2</c:f>
              <c:strCache>
                <c:ptCount val="1"/>
                <c:pt idx="0">
                  <c:v>Accountant</c:v>
                </c:pt>
              </c:strCache>
            </c:strRef>
          </c:tx>
          <c:spPr>
            <a:solidFill>
              <a:schemeClr val="accent2"/>
            </a:solidFill>
            <a:ln>
              <a:noFill/>
            </a:ln>
            <a:effectLst/>
          </c:spPr>
          <c:invertIfNegative val="0"/>
          <c:cat>
            <c:strRef>
              <c:f>Backend!$A$3</c:f>
              <c:strCache>
                <c:ptCount val="1"/>
                <c:pt idx="0">
                  <c:v>Total</c:v>
                </c:pt>
              </c:strCache>
            </c:strRef>
          </c:cat>
          <c:val>
            <c:numRef>
              <c:f>Backend!$B$3</c:f>
              <c:numCache>
                <c:formatCode>General</c:formatCode>
                <c:ptCount val="1"/>
                <c:pt idx="0">
                  <c:v>6</c:v>
                </c:pt>
              </c:numCache>
            </c:numRef>
          </c:val>
          <c:extLst>
            <c:ext xmlns:c16="http://schemas.microsoft.com/office/drawing/2014/chart" uri="{C3380CC4-5D6E-409C-BE32-E72D297353CC}">
              <c16:uniqueId val="{00000006-6918-46E2-874C-C16EE0302342}"/>
            </c:ext>
          </c:extLst>
        </c:ser>
        <c:ser>
          <c:idx val="1"/>
          <c:order val="1"/>
          <c:tx>
            <c:strRef>
              <c:f>Backend!$C$1:$C$2</c:f>
              <c:strCache>
                <c:ptCount val="1"/>
                <c:pt idx="0">
                  <c:v>Audit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Backend!$A$3</c:f>
              <c:strCache>
                <c:ptCount val="1"/>
                <c:pt idx="0">
                  <c:v>Total</c:v>
                </c:pt>
              </c:strCache>
            </c:strRef>
          </c:cat>
          <c:val>
            <c:numRef>
              <c:f>Backend!$C$3</c:f>
              <c:numCache>
                <c:formatCode>General</c:formatCode>
                <c:ptCount val="1"/>
                <c:pt idx="0">
                  <c:v>7</c:v>
                </c:pt>
              </c:numCache>
            </c:numRef>
          </c:val>
          <c:extLst>
            <c:ext xmlns:c16="http://schemas.microsoft.com/office/drawing/2014/chart" uri="{C3380CC4-5D6E-409C-BE32-E72D297353CC}">
              <c16:uniqueId val="{00000000-80D6-4A77-8EF1-C7658C10AF1C}"/>
            </c:ext>
          </c:extLst>
        </c:ser>
        <c:ser>
          <c:idx val="2"/>
          <c:order val="2"/>
          <c:tx>
            <c:strRef>
              <c:f>Backend!$D$1:$D$2</c:f>
              <c:strCache>
                <c:ptCount val="1"/>
                <c:pt idx="0">
                  <c:v>Bank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Backend!$A$3</c:f>
              <c:strCache>
                <c:ptCount val="1"/>
                <c:pt idx="0">
                  <c:v>Total</c:v>
                </c:pt>
              </c:strCache>
            </c:strRef>
          </c:cat>
          <c:val>
            <c:numRef>
              <c:f>Backend!$D$3</c:f>
              <c:numCache>
                <c:formatCode>General</c:formatCode>
                <c:ptCount val="1"/>
                <c:pt idx="0">
                  <c:v>12</c:v>
                </c:pt>
              </c:numCache>
            </c:numRef>
          </c:val>
          <c:extLst>
            <c:ext xmlns:c16="http://schemas.microsoft.com/office/drawing/2014/chart" uri="{C3380CC4-5D6E-409C-BE32-E72D297353CC}">
              <c16:uniqueId val="{00000001-80D6-4A77-8EF1-C7658C10AF1C}"/>
            </c:ext>
          </c:extLst>
        </c:ser>
        <c:ser>
          <c:idx val="3"/>
          <c:order val="3"/>
          <c:tx>
            <c:strRef>
              <c:f>Backend!$E$1:$E$2</c:f>
              <c:strCache>
                <c:ptCount val="1"/>
                <c:pt idx="0">
                  <c:v>Budget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Backend!$A$3</c:f>
              <c:strCache>
                <c:ptCount val="1"/>
                <c:pt idx="0">
                  <c:v>Total</c:v>
                </c:pt>
              </c:strCache>
            </c:strRef>
          </c:cat>
          <c:val>
            <c:numRef>
              <c:f>Backend!$E$3</c:f>
              <c:numCache>
                <c:formatCode>General</c:formatCode>
                <c:ptCount val="1"/>
                <c:pt idx="0">
                  <c:v>5</c:v>
                </c:pt>
              </c:numCache>
            </c:numRef>
          </c:val>
          <c:extLst>
            <c:ext xmlns:c16="http://schemas.microsoft.com/office/drawing/2014/chart" uri="{C3380CC4-5D6E-409C-BE32-E72D297353CC}">
              <c16:uniqueId val="{00000002-80D6-4A77-8EF1-C7658C10AF1C}"/>
            </c:ext>
          </c:extLst>
        </c:ser>
        <c:ser>
          <c:idx val="4"/>
          <c:order val="4"/>
          <c:tx>
            <c:strRef>
              <c:f>Backend!$F$1:$F$2</c:f>
              <c:strCache>
                <c:ptCount val="1"/>
                <c:pt idx="0">
                  <c:v>Reviewer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Backend!$A$3</c:f>
              <c:strCache>
                <c:ptCount val="1"/>
                <c:pt idx="0">
                  <c:v>Total</c:v>
                </c:pt>
              </c:strCache>
            </c:strRef>
          </c:cat>
          <c:val>
            <c:numRef>
              <c:f>Backend!$F$3</c:f>
              <c:numCache>
                <c:formatCode>General</c:formatCode>
                <c:ptCount val="1"/>
                <c:pt idx="0">
                  <c:v>7</c:v>
                </c:pt>
              </c:numCache>
            </c:numRef>
          </c:val>
          <c:extLst>
            <c:ext xmlns:c16="http://schemas.microsoft.com/office/drawing/2014/chart" uri="{C3380CC4-5D6E-409C-BE32-E72D297353CC}">
              <c16:uniqueId val="{00000003-80D6-4A77-8EF1-C7658C10AF1C}"/>
            </c:ext>
          </c:extLst>
        </c:ser>
        <c:ser>
          <c:idx val="5"/>
          <c:order val="5"/>
          <c:tx>
            <c:strRef>
              <c:f>Backend!$G$1:$G$2</c:f>
              <c:strCache>
                <c:ptCount val="1"/>
                <c:pt idx="0">
                  <c:v>Supervisor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Backend!$A$3</c:f>
              <c:strCache>
                <c:ptCount val="1"/>
                <c:pt idx="0">
                  <c:v>Total</c:v>
                </c:pt>
              </c:strCache>
            </c:strRef>
          </c:cat>
          <c:val>
            <c:numRef>
              <c:f>Backend!$G$3</c:f>
              <c:numCache>
                <c:formatCode>General</c:formatCode>
                <c:ptCount val="1"/>
                <c:pt idx="0">
                  <c:v>12</c:v>
                </c:pt>
              </c:numCache>
            </c:numRef>
          </c:val>
          <c:extLst>
            <c:ext xmlns:c16="http://schemas.microsoft.com/office/drawing/2014/chart" uri="{C3380CC4-5D6E-409C-BE32-E72D297353CC}">
              <c16:uniqueId val="{00000004-80D6-4A77-8EF1-C7658C10AF1C}"/>
            </c:ext>
          </c:extLst>
        </c:ser>
        <c:dLbls>
          <c:showLegendKey val="0"/>
          <c:showVal val="0"/>
          <c:showCatName val="0"/>
          <c:showSerName val="0"/>
          <c:showPercent val="0"/>
          <c:showBubbleSize val="0"/>
        </c:dLbls>
        <c:gapWidth val="355"/>
        <c:overlap val="-70"/>
        <c:axId val="827454607"/>
        <c:axId val="827441647"/>
      </c:barChart>
      <c:valAx>
        <c:axId val="8274416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454607"/>
        <c:crosses val="autoZero"/>
        <c:crossBetween val="between"/>
      </c:valAx>
      <c:catAx>
        <c:axId val="82745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441647"/>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[Request_Tracking_System.xlsx]Backend!PivotTable4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p>
        </c:rich>
      </c:tx>
      <c:layout>
        <c:manualLayout>
          <c:xMode val="edge"/>
          <c:yMode val="edge"/>
          <c:x val="0.49906051157082904"/>
          <c:y val="3.019475506738128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shade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shade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tint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tint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tint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shade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5426991117636E-2"/>
          <c:y val="0.23315586342846381"/>
          <c:w val="0.91768094666132838"/>
          <c:h val="0.64033993377410103"/>
        </c:manualLayout>
      </c:layout>
      <c:barChart>
        <c:barDir val="col"/>
        <c:grouping val="clustered"/>
        <c:varyColors val="0"/>
        <c:ser>
          <c:idx val="0"/>
          <c:order val="0"/>
          <c:tx>
            <c:strRef>
              <c:f>Backend!$B$1:$B$2</c:f>
              <c:strCache>
                <c:ptCount val="1"/>
                <c:pt idx="0">
                  <c:v>Accountant</c:v>
                </c:pt>
              </c:strCache>
            </c:strRef>
          </c:tx>
          <c:spPr>
            <a:solidFill>
              <a:schemeClr val="accent2">
                <a:shade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Backend!$A$3</c:f>
              <c:strCache>
                <c:ptCount val="1"/>
                <c:pt idx="0">
                  <c:v>Total</c:v>
                </c:pt>
              </c:strCache>
            </c:strRef>
          </c:cat>
          <c:val>
            <c:numRef>
              <c:f>Backend!$B$3</c:f>
              <c:numCache>
                <c:formatCode>General</c:formatCode>
                <c:ptCount val="1"/>
                <c:pt idx="0">
                  <c:v>6</c:v>
                </c:pt>
              </c:numCache>
            </c:numRef>
          </c:val>
          <c:extLst>
            <c:ext xmlns:c16="http://schemas.microsoft.com/office/drawing/2014/chart" uri="{C3380CC4-5D6E-409C-BE32-E72D297353CC}">
              <c16:uniqueId val="{00000000-F72C-4927-B5B2-0D1C867EE0A9}"/>
            </c:ext>
          </c:extLst>
        </c:ser>
        <c:ser>
          <c:idx val="1"/>
          <c:order val="1"/>
          <c:tx>
            <c:strRef>
              <c:f>Backend!$C$1:$C$2</c:f>
              <c:strCache>
                <c:ptCount val="1"/>
                <c:pt idx="0">
                  <c:v>Audit</c:v>
                </c:pt>
              </c:strCache>
            </c:strRef>
          </c:tx>
          <c:spPr>
            <a:solidFill>
              <a:schemeClr val="accent2">
                <a:shade val="7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Backend!$A$3</c:f>
              <c:strCache>
                <c:ptCount val="1"/>
                <c:pt idx="0">
                  <c:v>Total</c:v>
                </c:pt>
              </c:strCache>
            </c:strRef>
          </c:cat>
          <c:val>
            <c:numRef>
              <c:f>Backend!$C$3</c:f>
              <c:numCache>
                <c:formatCode>General</c:formatCode>
                <c:ptCount val="1"/>
                <c:pt idx="0">
                  <c:v>7</c:v>
                </c:pt>
              </c:numCache>
            </c:numRef>
          </c:val>
          <c:extLst>
            <c:ext xmlns:c16="http://schemas.microsoft.com/office/drawing/2014/chart" uri="{C3380CC4-5D6E-409C-BE32-E72D297353CC}">
              <c16:uniqueId val="{00000001-F72C-4927-B5B2-0D1C867EE0A9}"/>
            </c:ext>
          </c:extLst>
        </c:ser>
        <c:ser>
          <c:idx val="2"/>
          <c:order val="2"/>
          <c:tx>
            <c:strRef>
              <c:f>Backend!$D$1:$D$2</c:f>
              <c:strCache>
                <c:ptCount val="1"/>
                <c:pt idx="0">
                  <c:v>Bank</c:v>
                </c:pt>
              </c:strCache>
            </c:strRef>
          </c:tx>
          <c:spPr>
            <a:solidFill>
              <a:schemeClr val="accent2">
                <a:shade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Backend!$A$3</c:f>
              <c:strCache>
                <c:ptCount val="1"/>
                <c:pt idx="0">
                  <c:v>Total</c:v>
                </c:pt>
              </c:strCache>
            </c:strRef>
          </c:cat>
          <c:val>
            <c:numRef>
              <c:f>Backend!$D$3</c:f>
              <c:numCache>
                <c:formatCode>General</c:formatCode>
                <c:ptCount val="1"/>
                <c:pt idx="0">
                  <c:v>12</c:v>
                </c:pt>
              </c:numCache>
            </c:numRef>
          </c:val>
          <c:extLst>
            <c:ext xmlns:c16="http://schemas.microsoft.com/office/drawing/2014/chart" uri="{C3380CC4-5D6E-409C-BE32-E72D297353CC}">
              <c16:uniqueId val="{00000002-F72C-4927-B5B2-0D1C867EE0A9}"/>
            </c:ext>
          </c:extLst>
        </c:ser>
        <c:ser>
          <c:idx val="3"/>
          <c:order val="3"/>
          <c:tx>
            <c:strRef>
              <c:f>Backend!$E$1:$E$2</c:f>
              <c:strCache>
                <c:ptCount val="1"/>
                <c:pt idx="0">
                  <c:v>Budget</c:v>
                </c:pt>
              </c:strCache>
            </c:strRef>
          </c:tx>
          <c:spPr>
            <a:solidFill>
              <a:schemeClr val="accent2">
                <a:tint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Backend!$A$3</c:f>
              <c:strCache>
                <c:ptCount val="1"/>
                <c:pt idx="0">
                  <c:v>Total</c:v>
                </c:pt>
              </c:strCache>
            </c:strRef>
          </c:cat>
          <c:val>
            <c:numRef>
              <c:f>Backend!$E$3</c:f>
              <c:numCache>
                <c:formatCode>General</c:formatCode>
                <c:ptCount val="1"/>
                <c:pt idx="0">
                  <c:v>5</c:v>
                </c:pt>
              </c:numCache>
            </c:numRef>
          </c:val>
          <c:extLst>
            <c:ext xmlns:c16="http://schemas.microsoft.com/office/drawing/2014/chart" uri="{C3380CC4-5D6E-409C-BE32-E72D297353CC}">
              <c16:uniqueId val="{00000003-F72C-4927-B5B2-0D1C867EE0A9}"/>
            </c:ext>
          </c:extLst>
        </c:ser>
        <c:ser>
          <c:idx val="4"/>
          <c:order val="4"/>
          <c:tx>
            <c:strRef>
              <c:f>Backend!$F$1:$F$2</c:f>
              <c:strCache>
                <c:ptCount val="1"/>
                <c:pt idx="0">
                  <c:v>Reviewer</c:v>
                </c:pt>
              </c:strCache>
            </c:strRef>
          </c:tx>
          <c:spPr>
            <a:solidFill>
              <a:schemeClr val="accent2">
                <a:tint val="7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Backend!$A$3</c:f>
              <c:strCache>
                <c:ptCount val="1"/>
                <c:pt idx="0">
                  <c:v>Total</c:v>
                </c:pt>
              </c:strCache>
            </c:strRef>
          </c:cat>
          <c:val>
            <c:numRef>
              <c:f>Backend!$F$3</c:f>
              <c:numCache>
                <c:formatCode>General</c:formatCode>
                <c:ptCount val="1"/>
                <c:pt idx="0">
                  <c:v>7</c:v>
                </c:pt>
              </c:numCache>
            </c:numRef>
          </c:val>
          <c:extLst>
            <c:ext xmlns:c16="http://schemas.microsoft.com/office/drawing/2014/chart" uri="{C3380CC4-5D6E-409C-BE32-E72D297353CC}">
              <c16:uniqueId val="{00000004-F72C-4927-B5B2-0D1C867EE0A9}"/>
            </c:ext>
          </c:extLst>
        </c:ser>
        <c:ser>
          <c:idx val="5"/>
          <c:order val="5"/>
          <c:tx>
            <c:strRef>
              <c:f>Backend!$G$1:$G$2</c:f>
              <c:strCache>
                <c:ptCount val="1"/>
                <c:pt idx="0">
                  <c:v>Supervisor</c:v>
                </c:pt>
              </c:strCache>
            </c:strRef>
          </c:tx>
          <c:spPr>
            <a:solidFill>
              <a:schemeClr val="accent2">
                <a:tint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Backend!$A$3</c:f>
              <c:strCache>
                <c:ptCount val="1"/>
                <c:pt idx="0">
                  <c:v>Total</c:v>
                </c:pt>
              </c:strCache>
            </c:strRef>
          </c:cat>
          <c:val>
            <c:numRef>
              <c:f>Backend!$G$3</c:f>
              <c:numCache>
                <c:formatCode>General</c:formatCode>
                <c:ptCount val="1"/>
                <c:pt idx="0">
                  <c:v>12</c:v>
                </c:pt>
              </c:numCache>
            </c:numRef>
          </c:val>
          <c:extLst>
            <c:ext xmlns:c16="http://schemas.microsoft.com/office/drawing/2014/chart" uri="{C3380CC4-5D6E-409C-BE32-E72D297353CC}">
              <c16:uniqueId val="{00000005-F72C-4927-B5B2-0D1C867EE0A9}"/>
            </c:ext>
          </c:extLst>
        </c:ser>
        <c:dLbls>
          <c:dLblPos val="inEnd"/>
          <c:showLegendKey val="0"/>
          <c:showVal val="1"/>
          <c:showCatName val="0"/>
          <c:showSerName val="0"/>
          <c:showPercent val="0"/>
          <c:showBubbleSize val="0"/>
        </c:dLbls>
        <c:gapWidth val="65"/>
        <c:axId val="827454607"/>
        <c:axId val="827441647"/>
      </c:barChart>
      <c:valAx>
        <c:axId val="8274416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27454607"/>
        <c:crosses val="autoZero"/>
        <c:crossBetween val="between"/>
      </c:valAx>
      <c:catAx>
        <c:axId val="8274546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7441647"/>
        <c:crosses val="autoZero"/>
        <c:auto val="1"/>
        <c:lblAlgn val="ctr"/>
        <c:lblOffset val="100"/>
        <c:noMultiLvlLbl val="0"/>
      </c:cat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685800</xdr:colOff>
      <xdr:row>0</xdr:row>
      <xdr:rowOff>175260</xdr:rowOff>
    </xdr:from>
    <xdr:to>
      <xdr:col>5</xdr:col>
      <xdr:colOff>373380</xdr:colOff>
      <xdr:row>12</xdr:row>
      <xdr:rowOff>0</xdr:rowOff>
    </xdr:to>
    <mc:AlternateContent xmlns:mc="http://schemas.openxmlformats.org/markup-compatibility/2006" xmlns:a14="http://schemas.microsoft.com/office/drawing/2010/main">
      <mc:Choice Requires="a14">
        <xdr:graphicFrame macro="">
          <xdr:nvGraphicFramePr>
            <xdr:cNvPr id="2" name="Accountant">
              <a:extLst>
                <a:ext uri="{FF2B5EF4-FFF2-40B4-BE49-F238E27FC236}">
                  <a16:creationId xmlns:a16="http://schemas.microsoft.com/office/drawing/2014/main" id="{9B0FD65F-A8ED-A0FD-1959-FA26D911CC7E}"/>
                </a:ext>
              </a:extLst>
            </xdr:cNvPr>
            <xdr:cNvGraphicFramePr/>
          </xdr:nvGraphicFramePr>
          <xdr:xfrm>
            <a:off x="0" y="0"/>
            <a:ext cx="0" cy="0"/>
          </xdr:xfrm>
          <a:graphic>
            <a:graphicData uri="http://schemas.microsoft.com/office/drawing/2010/slicer">
              <sle:slicer xmlns:sle="http://schemas.microsoft.com/office/drawing/2010/slicer" name="Accountant"/>
            </a:graphicData>
          </a:graphic>
        </xdr:graphicFrame>
      </mc:Choice>
      <mc:Fallback xmlns="">
        <xdr:sp macro="" textlink="">
          <xdr:nvSpPr>
            <xdr:cNvPr id="0" name=""/>
            <xdr:cNvSpPr>
              <a:spLocks noTextEdit="1"/>
            </xdr:cNvSpPr>
          </xdr:nvSpPr>
          <xdr:spPr>
            <a:xfrm>
              <a:off x="3253740" y="175260"/>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739140</xdr:colOff>
      <xdr:row>0</xdr:row>
      <xdr:rowOff>68580</xdr:rowOff>
    </xdr:from>
    <xdr:to>
      <xdr:col>10</xdr:col>
      <xdr:colOff>617220</xdr:colOff>
      <xdr:row>12</xdr:row>
      <xdr:rowOff>144780</xdr:rowOff>
    </xdr:to>
    <xdr:graphicFrame macro="">
      <xdr:nvGraphicFramePr>
        <xdr:cNvPr id="5" name="Chart 4">
          <a:extLst>
            <a:ext uri="{FF2B5EF4-FFF2-40B4-BE49-F238E27FC236}">
              <a16:creationId xmlns:a16="http://schemas.microsoft.com/office/drawing/2014/main" id="{6D203368-6B97-D1C4-E4D2-5DFB9C677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7620</xdr:rowOff>
    </xdr:from>
    <xdr:to>
      <xdr:col>13</xdr:col>
      <xdr:colOff>68580</xdr:colOff>
      <xdr:row>19</xdr:row>
      <xdr:rowOff>137160</xdr:rowOff>
    </xdr:to>
    <xdr:graphicFrame macro="">
      <xdr:nvGraphicFramePr>
        <xdr:cNvPr id="3" name="Chart 2">
          <a:extLst>
            <a:ext uri="{FF2B5EF4-FFF2-40B4-BE49-F238E27FC236}">
              <a16:creationId xmlns:a16="http://schemas.microsoft.com/office/drawing/2014/main" id="{F8DD4EEA-824A-4187-B436-4D51DDDBD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22</xdr:row>
      <xdr:rowOff>99060</xdr:rowOff>
    </xdr:from>
    <xdr:to>
      <xdr:col>13</xdr:col>
      <xdr:colOff>106680</xdr:colOff>
      <xdr:row>47</xdr:row>
      <xdr:rowOff>60960</xdr:rowOff>
    </xdr:to>
    <xdr:graphicFrame macro="">
      <xdr:nvGraphicFramePr>
        <xdr:cNvPr id="4" name="Chart 3">
          <a:extLst>
            <a:ext uri="{FF2B5EF4-FFF2-40B4-BE49-F238E27FC236}">
              <a16:creationId xmlns:a16="http://schemas.microsoft.com/office/drawing/2014/main" id="{455119A4-F663-458A-A303-4C517C1FB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 ahmed" refreshedDate="46114.806581712961" createdVersion="8" refreshedVersion="8" minRefreshableVersion="3" recordCount="49" xr:uid="{509373CD-D7CF-4CC9-9E0D-DAE145DFC0B2}">
  <cacheSource type="worksheet">
    <worksheetSource name="RequestTable"/>
  </cacheSource>
  <cacheFields count="10">
    <cacheField name="Request ID" numFmtId="0">
      <sharedItems/>
    </cacheField>
    <cacheField name="Request Name" numFmtId="0">
      <sharedItems/>
    </cacheField>
    <cacheField name="Accountant" numFmtId="0">
      <sharedItems count="6">
        <s v="John"/>
        <s v="Sara"/>
        <s v="Noor"/>
        <s v="Fatima"/>
        <s v="Ali"/>
        <s v="Ahmed"/>
      </sharedItems>
    </cacheField>
    <cacheField name="Current Stage" numFmtId="0">
      <sharedItems containsBlank="1" count="7">
        <s v="Supervisor"/>
        <s v="Accountant"/>
        <s v="Reviewer"/>
        <s v="Bank"/>
        <s v="Audit"/>
        <s v="Budget"/>
        <m u="1"/>
      </sharedItems>
    </cacheField>
    <cacheField name="Status" numFmtId="0">
      <sharedItems count="3">
        <s v="On Hold"/>
        <s v="Completed"/>
        <s v="In Progress"/>
      </sharedItems>
    </cacheField>
    <cacheField name="Start Date" numFmtId="164">
      <sharedItems containsSemiMixedTypes="0" containsNonDate="0" containsDate="1" containsString="0" minDate="2026-01-02T00:00:00" maxDate="2026-03-30T00:00:00"/>
    </cacheField>
    <cacheField name="Last Update Date" numFmtId="164">
      <sharedItems containsSemiMixedTypes="0" containsNonDate="0" containsDate="1" containsString="0" minDate="2026-01-03T00:00:00" maxDate="2026-04-02T00:00:00"/>
    </cacheField>
    <cacheField name="Number of Days" numFmtId="0">
      <sharedItems containsSemiMixedTypes="0" containsString="0" containsNumber="1" containsInteger="1" minValue="4" maxValue="90"/>
    </cacheField>
    <cacheField name="Notes" numFmtId="0">
      <sharedItems/>
    </cacheField>
    <cacheField name="Field1" numFmtId="0" formula=" 0" databaseField="0"/>
  </cacheFields>
  <extLst>
    <ext xmlns:x14="http://schemas.microsoft.com/office/spreadsheetml/2009/9/main" uri="{725AE2AE-9491-48be-B2B4-4EB974FC3084}">
      <x14:pivotCacheDefinition pivotCacheId="1701979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REQ-1002"/>
    <s v="Request 1"/>
    <x v="0"/>
    <x v="0"/>
    <x v="0"/>
    <d v="2026-03-01T00:00:00"/>
    <d v="2026-03-02T00:00:00"/>
    <n v="32"/>
    <s v="Client follow-up"/>
  </r>
  <r>
    <s v="REQ-1003"/>
    <s v="Request 2"/>
    <x v="1"/>
    <x v="0"/>
    <x v="1"/>
    <d v="2026-03-14T00:00:00"/>
    <d v="2026-03-14T00:00:00"/>
    <n v="19"/>
    <s v="Waiting approval"/>
  </r>
  <r>
    <s v="REQ-1004"/>
    <s v="Request 3"/>
    <x v="0"/>
    <x v="1"/>
    <x v="0"/>
    <d v="2026-01-24T00:00:00"/>
    <d v="2026-01-31T00:00:00"/>
    <n v="68"/>
    <s v="Pending review"/>
  </r>
  <r>
    <s v="REQ-1005"/>
    <s v="Request 4"/>
    <x v="2"/>
    <x v="2"/>
    <x v="0"/>
    <d v="2026-03-08T00:00:00"/>
    <d v="2026-03-12T00:00:00"/>
    <n v="25"/>
    <s v="Completed successfully"/>
  </r>
  <r>
    <s v="REQ-1006"/>
    <s v="Request 5"/>
    <x v="3"/>
    <x v="3"/>
    <x v="2"/>
    <d v="2026-01-04T00:00:00"/>
    <d v="2026-01-08T00:00:00"/>
    <n v="88"/>
    <s v="Delayed due to issue"/>
  </r>
  <r>
    <s v="REQ-1007"/>
    <s v="Request 6"/>
    <x v="0"/>
    <x v="3"/>
    <x v="0"/>
    <d v="2026-03-03T00:00:00"/>
    <d v="2026-03-05T00:00:00"/>
    <n v="30"/>
    <s v="Waiting approval"/>
  </r>
  <r>
    <s v="REQ-1008"/>
    <s v="Request 7"/>
    <x v="0"/>
    <x v="2"/>
    <x v="0"/>
    <d v="2026-02-03T00:00:00"/>
    <d v="2026-02-10T00:00:00"/>
    <n v="58"/>
    <s v="Pending review"/>
  </r>
  <r>
    <s v="REQ-1009"/>
    <s v="Request 8"/>
    <x v="4"/>
    <x v="0"/>
    <x v="2"/>
    <d v="2026-03-01T00:00:00"/>
    <d v="2026-03-06T00:00:00"/>
    <n v="32"/>
    <s v="Under processing"/>
  </r>
  <r>
    <s v="REQ-1010"/>
    <s v="Request 9"/>
    <x v="0"/>
    <x v="4"/>
    <x v="0"/>
    <d v="2026-01-29T00:00:00"/>
    <d v="2026-01-29T00:00:00"/>
    <n v="63"/>
    <s v="Waiting approval"/>
  </r>
  <r>
    <s v="REQ-1011"/>
    <s v="Request 10"/>
    <x v="4"/>
    <x v="4"/>
    <x v="1"/>
    <d v="2026-02-18T00:00:00"/>
    <d v="2026-02-28T00:00:00"/>
    <n v="43"/>
    <s v="Completed successfully"/>
  </r>
  <r>
    <s v="REQ-1012"/>
    <s v="Request 11"/>
    <x v="5"/>
    <x v="5"/>
    <x v="1"/>
    <d v="2026-02-11T00:00:00"/>
    <d v="2026-02-19T00:00:00"/>
    <n v="50"/>
    <s v="Client follow-up"/>
  </r>
  <r>
    <s v="REQ-1013"/>
    <s v="Request 12"/>
    <x v="3"/>
    <x v="0"/>
    <x v="1"/>
    <d v="2026-03-22T00:00:00"/>
    <d v="2026-03-29T00:00:00"/>
    <n v="11"/>
    <s v="Completed successfully"/>
  </r>
  <r>
    <s v="REQ-1014"/>
    <s v="Request 13"/>
    <x v="2"/>
    <x v="3"/>
    <x v="2"/>
    <d v="2026-01-22T00:00:00"/>
    <d v="2026-02-01T00:00:00"/>
    <n v="70"/>
    <s v="Under processing"/>
  </r>
  <r>
    <s v="REQ-1015"/>
    <s v="Request 14"/>
    <x v="1"/>
    <x v="1"/>
    <x v="1"/>
    <d v="2026-01-14T00:00:00"/>
    <d v="2026-01-24T00:00:00"/>
    <n v="78"/>
    <s v="Completed successfully"/>
  </r>
  <r>
    <s v="REQ-1016"/>
    <s v="Request 15"/>
    <x v="3"/>
    <x v="3"/>
    <x v="1"/>
    <d v="2026-03-23T00:00:00"/>
    <d v="2026-03-23T00:00:00"/>
    <n v="10"/>
    <s v="Pending review"/>
  </r>
  <r>
    <s v="REQ-1017"/>
    <s v="Request 16"/>
    <x v="4"/>
    <x v="5"/>
    <x v="2"/>
    <d v="2026-01-02T00:00:00"/>
    <d v="2026-01-12T00:00:00"/>
    <n v="90"/>
    <s v="Client follow-up"/>
  </r>
  <r>
    <s v="REQ-1018"/>
    <s v="Request 17"/>
    <x v="3"/>
    <x v="4"/>
    <x v="1"/>
    <d v="2026-03-08T00:00:00"/>
    <d v="2026-03-17T00:00:00"/>
    <n v="25"/>
    <s v="Delayed due to issue"/>
  </r>
  <r>
    <s v="REQ-1019"/>
    <s v="Request 18"/>
    <x v="2"/>
    <x v="4"/>
    <x v="0"/>
    <d v="2026-01-24T00:00:00"/>
    <d v="2026-01-26T00:00:00"/>
    <n v="68"/>
    <s v="Waiting approval"/>
  </r>
  <r>
    <s v="REQ-1020"/>
    <s v="Request 19"/>
    <x v="5"/>
    <x v="0"/>
    <x v="1"/>
    <d v="2026-02-22T00:00:00"/>
    <d v="2026-02-27T00:00:00"/>
    <n v="39"/>
    <s v="Client follow-up"/>
  </r>
  <r>
    <s v="REQ-1021"/>
    <s v="Request 20"/>
    <x v="4"/>
    <x v="4"/>
    <x v="2"/>
    <d v="2026-02-10T00:00:00"/>
    <d v="2026-02-17T00:00:00"/>
    <n v="51"/>
    <s v="Delayed due to issue"/>
  </r>
  <r>
    <s v="REQ-1022"/>
    <s v="Request 21"/>
    <x v="3"/>
    <x v="3"/>
    <x v="2"/>
    <d v="2026-01-13T00:00:00"/>
    <d v="2026-01-14T00:00:00"/>
    <n v="79"/>
    <s v="Client follow-up"/>
  </r>
  <r>
    <s v="REQ-1023"/>
    <s v="Request 22"/>
    <x v="1"/>
    <x v="1"/>
    <x v="0"/>
    <d v="2026-03-23T00:00:00"/>
    <d v="2026-03-28T00:00:00"/>
    <n v="10"/>
    <s v="Under processing"/>
  </r>
  <r>
    <s v="REQ-1024"/>
    <s v="Request 23"/>
    <x v="5"/>
    <x v="5"/>
    <x v="0"/>
    <d v="2026-02-07T00:00:00"/>
    <d v="2026-02-12T00:00:00"/>
    <n v="54"/>
    <s v="Delayed due to issue"/>
  </r>
  <r>
    <s v="REQ-1025"/>
    <s v="Request 24"/>
    <x v="0"/>
    <x v="0"/>
    <x v="1"/>
    <d v="2026-02-10T00:00:00"/>
    <d v="2026-02-11T00:00:00"/>
    <n v="51"/>
    <s v="Delayed due to issue"/>
  </r>
  <r>
    <s v="REQ-1026"/>
    <s v="Request 25"/>
    <x v="5"/>
    <x v="3"/>
    <x v="2"/>
    <d v="2026-01-27T00:00:00"/>
    <d v="2026-02-02T00:00:00"/>
    <n v="65"/>
    <s v="Pending review"/>
  </r>
  <r>
    <s v="REQ-1027"/>
    <s v="Request 26"/>
    <x v="3"/>
    <x v="4"/>
    <x v="0"/>
    <d v="2026-02-28T00:00:00"/>
    <d v="2026-03-03T00:00:00"/>
    <n v="33"/>
    <s v="Client follow-up"/>
  </r>
  <r>
    <s v="REQ-1028"/>
    <s v="Request 27"/>
    <x v="5"/>
    <x v="2"/>
    <x v="2"/>
    <d v="2026-02-01T00:00:00"/>
    <d v="2026-02-02T00:00:00"/>
    <n v="60"/>
    <s v="Client follow-up"/>
  </r>
  <r>
    <s v="REQ-1029"/>
    <s v="Request 28"/>
    <x v="4"/>
    <x v="5"/>
    <x v="1"/>
    <d v="2026-03-19T00:00:00"/>
    <d v="2026-03-29T00:00:00"/>
    <n v="14"/>
    <s v="Pending review"/>
  </r>
  <r>
    <s v="REQ-1030"/>
    <s v="Request 29"/>
    <x v="4"/>
    <x v="1"/>
    <x v="0"/>
    <d v="2026-01-28T00:00:00"/>
    <d v="2026-01-30T00:00:00"/>
    <n v="64"/>
    <s v="Client follow-up"/>
  </r>
  <r>
    <s v="REQ-1031"/>
    <s v="Request 30"/>
    <x v="1"/>
    <x v="3"/>
    <x v="1"/>
    <d v="2026-01-22T00:00:00"/>
    <d v="2026-01-25T00:00:00"/>
    <n v="70"/>
    <s v="Delayed due to issue"/>
  </r>
  <r>
    <s v="REQ-1032"/>
    <s v="Request 31"/>
    <x v="5"/>
    <x v="0"/>
    <x v="1"/>
    <d v="2026-03-29T00:00:00"/>
    <d v="2026-04-01T00:00:00"/>
    <n v="4"/>
    <s v="Waiting approval"/>
  </r>
  <r>
    <s v="REQ-1033"/>
    <s v="Request 32"/>
    <x v="1"/>
    <x v="0"/>
    <x v="2"/>
    <d v="2026-01-18T00:00:00"/>
    <d v="2026-01-23T00:00:00"/>
    <n v="74"/>
    <s v="Client follow-up"/>
  </r>
  <r>
    <s v="REQ-1034"/>
    <s v="Request 33"/>
    <x v="0"/>
    <x v="0"/>
    <x v="1"/>
    <d v="2026-01-20T00:00:00"/>
    <d v="2026-01-30T00:00:00"/>
    <n v="72"/>
    <s v="Client follow-up"/>
  </r>
  <r>
    <s v="REQ-1035"/>
    <s v="Request 34"/>
    <x v="3"/>
    <x v="3"/>
    <x v="0"/>
    <d v="2026-03-01T00:00:00"/>
    <d v="2026-03-02T00:00:00"/>
    <n v="32"/>
    <s v="Client follow-up"/>
  </r>
  <r>
    <s v="REQ-1036"/>
    <s v="Request 35"/>
    <x v="3"/>
    <x v="4"/>
    <x v="0"/>
    <d v="2026-03-27T00:00:00"/>
    <d v="2026-04-01T00:00:00"/>
    <n v="6"/>
    <s v="Pending review"/>
  </r>
  <r>
    <s v="REQ-1037"/>
    <s v="Request 36"/>
    <x v="3"/>
    <x v="1"/>
    <x v="1"/>
    <d v="2026-03-05T00:00:00"/>
    <d v="2026-03-10T00:00:00"/>
    <n v="28"/>
    <s v="Waiting approval"/>
  </r>
  <r>
    <s v="REQ-1038"/>
    <s v="Request 37"/>
    <x v="5"/>
    <x v="3"/>
    <x v="2"/>
    <d v="2026-02-22T00:00:00"/>
    <d v="2026-02-24T00:00:00"/>
    <n v="39"/>
    <s v="Delayed due to issue"/>
  </r>
  <r>
    <s v="REQ-1039"/>
    <s v="Request 38"/>
    <x v="5"/>
    <x v="2"/>
    <x v="1"/>
    <d v="2026-01-02T00:00:00"/>
    <d v="2026-01-03T00:00:00"/>
    <n v="90"/>
    <s v="Pending review"/>
  </r>
  <r>
    <s v="REQ-1040"/>
    <s v="Request 39"/>
    <x v="1"/>
    <x v="3"/>
    <x v="1"/>
    <d v="2026-02-24T00:00:00"/>
    <d v="2026-03-03T00:00:00"/>
    <n v="37"/>
    <s v="Waiting approval"/>
  </r>
  <r>
    <s v="REQ-1041"/>
    <s v="Request 40"/>
    <x v="0"/>
    <x v="2"/>
    <x v="2"/>
    <d v="2026-03-20T00:00:00"/>
    <d v="2026-03-29T00:00:00"/>
    <n v="13"/>
    <s v="Under processing"/>
  </r>
  <r>
    <s v="REQ-1042"/>
    <s v="Request 41"/>
    <x v="0"/>
    <x v="3"/>
    <x v="0"/>
    <d v="2026-02-12T00:00:00"/>
    <d v="2026-02-22T00:00:00"/>
    <n v="49"/>
    <s v="Pending review"/>
  </r>
  <r>
    <s v="REQ-1043"/>
    <s v="Request 42"/>
    <x v="0"/>
    <x v="0"/>
    <x v="1"/>
    <d v="2026-03-10T00:00:00"/>
    <d v="2026-03-20T00:00:00"/>
    <n v="23"/>
    <s v="Completed successfully"/>
  </r>
  <r>
    <s v="REQ-1044"/>
    <s v="Request 43"/>
    <x v="2"/>
    <x v="0"/>
    <x v="0"/>
    <d v="2026-03-14T00:00:00"/>
    <d v="2026-03-17T00:00:00"/>
    <n v="19"/>
    <s v="Completed successfully"/>
  </r>
  <r>
    <s v="REQ-1045"/>
    <s v="Request 44"/>
    <x v="0"/>
    <x v="1"/>
    <x v="0"/>
    <d v="2026-02-24T00:00:00"/>
    <d v="2026-03-05T00:00:00"/>
    <n v="37"/>
    <s v="Completed successfully"/>
  </r>
  <r>
    <s v="REQ-1046"/>
    <s v="Request 45"/>
    <x v="0"/>
    <x v="0"/>
    <x v="1"/>
    <d v="2026-01-04T00:00:00"/>
    <d v="2026-01-06T00:00:00"/>
    <n v="88"/>
    <s v="Delayed due to issue"/>
  </r>
  <r>
    <s v="REQ-1047"/>
    <s v="Request 46"/>
    <x v="0"/>
    <x v="2"/>
    <x v="0"/>
    <d v="2026-02-04T00:00:00"/>
    <d v="2026-02-12T00:00:00"/>
    <n v="57"/>
    <s v="Waiting approval"/>
  </r>
  <r>
    <s v="REQ-1048"/>
    <s v="Request 47"/>
    <x v="5"/>
    <x v="5"/>
    <x v="2"/>
    <d v="2026-02-17T00:00:00"/>
    <d v="2026-02-23T00:00:00"/>
    <n v="44"/>
    <s v="Completed successfully"/>
  </r>
  <r>
    <s v="REQ-1049"/>
    <s v="Request 48"/>
    <x v="5"/>
    <x v="3"/>
    <x v="0"/>
    <d v="2026-03-11T00:00:00"/>
    <d v="2026-03-18T00:00:00"/>
    <n v="22"/>
    <s v="Client follow-up"/>
  </r>
  <r>
    <s v="REQ-1050"/>
    <s v="Request 49"/>
    <x v="0"/>
    <x v="2"/>
    <x v="2"/>
    <d v="2026-02-02T00:00:00"/>
    <d v="2026-02-08T00:00:00"/>
    <n v="59"/>
    <s v="Client follow-u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7A11A-B984-43CC-910C-4255A360C5AD}" name="PivotTable3"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4:E22" firstHeaderRow="1" firstDataRow="2" firstDataCol="1"/>
  <pivotFields count="10">
    <pivotField compact="0" outline="0" showAll="0"/>
    <pivotField dataField="1" compact="0" outline="0" showAll="0"/>
    <pivotField axis="axisRow" compact="0" outline="0" showAll="0">
      <items count="7">
        <item x="5"/>
        <item x="4"/>
        <item x="3"/>
        <item x="0"/>
        <item x="2"/>
        <item x="1"/>
        <item t="default"/>
      </items>
    </pivotField>
    <pivotField compact="0" outline="0" showAll="0"/>
    <pivotField axis="axisCol" compact="0" outline="0" showAll="0">
      <items count="4">
        <item x="1"/>
        <item x="2"/>
        <item x="0"/>
        <item t="default"/>
      </items>
    </pivotField>
    <pivotField compact="0" outline="0" showAll="0"/>
    <pivotField compact="0" outline="0" showAll="0"/>
    <pivotField compact="0" outline="0" showAll="0"/>
    <pivotField compact="0" outline="0" showAll="0"/>
    <pivotField compact="0" outline="0" dragToRow="0" dragToCol="0" dragToPage="0" showAll="0" defaultSubtotal="0"/>
  </pivotFields>
  <rowFields count="1">
    <field x="2"/>
  </rowFields>
  <rowItems count="7">
    <i>
      <x/>
    </i>
    <i>
      <x v="1"/>
    </i>
    <i>
      <x v="2"/>
    </i>
    <i>
      <x v="3"/>
    </i>
    <i>
      <x v="4"/>
    </i>
    <i>
      <x v="5"/>
    </i>
    <i t="grand">
      <x/>
    </i>
  </rowItems>
  <colFields count="1">
    <field x="4"/>
  </colFields>
  <colItems count="4">
    <i>
      <x/>
    </i>
    <i>
      <x v="1"/>
    </i>
    <i>
      <x v="2"/>
    </i>
    <i t="grand">
      <x/>
    </i>
  </colItems>
  <dataFields count="1">
    <dataField name="Count of Request Name" fld="1" subtotal="count" baseField="0" baseItem="0"/>
  </dataFields>
  <pivotTableStyleInfo name="PivotStyleMedium3"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CCE38E-3159-44C3-ADEE-7AC14E3865CC}" name="PivotTable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G16:H20" firstHeaderRow="1" firstDataRow="1" firstDataCol="1"/>
  <pivotFields count="10">
    <pivotField compact="0" outline="0" showAll="0"/>
    <pivotField compact="0" outline="0" showAll="0"/>
    <pivotField compact="0" outline="0" showAll="0">
      <items count="7">
        <item x="5"/>
        <item x="4"/>
        <item x="3"/>
        <item x="0"/>
        <item x="2"/>
        <item x="1"/>
        <item t="default"/>
      </items>
    </pivotField>
    <pivotField compact="0" outline="0" showAll="0"/>
    <pivotField axis="axisRow" dataField="1" compact="0" outline="0" showAll="0">
      <items count="4">
        <item x="1"/>
        <item x="2"/>
        <item x="0"/>
        <item t="default"/>
      </items>
    </pivotField>
    <pivotField compact="0" outline="0" showAll="0"/>
    <pivotField compact="0" outline="0" showAll="0"/>
    <pivotField compact="0" outline="0" showAll="0"/>
    <pivotField compact="0" outline="0" showAll="0"/>
    <pivotField compact="0" outline="0" dragToRow="0" dragToCol="0" dragToPage="0" showAll="0" defaultSubtotal="0"/>
  </pivotFields>
  <rowFields count="1">
    <field x="4"/>
  </rowFields>
  <rowItems count="4">
    <i>
      <x/>
    </i>
    <i>
      <x v="1"/>
    </i>
    <i>
      <x v="2"/>
    </i>
    <i t="grand">
      <x/>
    </i>
  </rowItems>
  <colItems count="1">
    <i/>
  </colItems>
  <dataFields count="1">
    <dataField name="Count of Status" fld="4" subtotal="count"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7B5C37-B2F3-4945-ADE4-20945EEDB65B}"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B10" firstHeaderRow="1" firstDataRow="1" firstDataCol="1"/>
  <pivotFields count="10">
    <pivotField compact="0" outline="0" showAll="0"/>
    <pivotField compact="0" outline="0" showAll="0"/>
    <pivotField compact="0" outline="0" showAll="0">
      <items count="7">
        <item x="5"/>
        <item x="4"/>
        <item x="3"/>
        <item x="0"/>
        <item x="2"/>
        <item x="1"/>
        <item t="default"/>
      </items>
    </pivotField>
    <pivotField axis="axisRow" dataField="1" compact="0" outline="0" showAll="0">
      <items count="8">
        <item x="1"/>
        <item x="4"/>
        <item x="3"/>
        <item x="5"/>
        <item x="2"/>
        <item x="0"/>
        <item m="1" x="6"/>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3"/>
  </rowFields>
  <rowItems count="7">
    <i>
      <x/>
    </i>
    <i>
      <x v="1"/>
    </i>
    <i>
      <x v="2"/>
    </i>
    <i>
      <x v="3"/>
    </i>
    <i>
      <x v="4"/>
    </i>
    <i>
      <x v="5"/>
    </i>
    <i t="grand">
      <x/>
    </i>
  </rowItems>
  <colItems count="1">
    <i/>
  </colItems>
  <dataFields count="1">
    <dataField name="Count" fld="3" subtotal="count" baseField="3"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25D516-D2BB-4AE0-89E5-B9E5AD4C8C6C}" name="PivotTable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A11:E19" firstHeaderRow="1" firstDataRow="2" firstDataCol="1"/>
  <pivotFields count="10">
    <pivotField compact="0" outline="0" showAll="0"/>
    <pivotField dataField="1" compact="0" outline="0" showAll="0"/>
    <pivotField axis="axisRow" compact="0" outline="0" showAll="0">
      <items count="7">
        <item x="5"/>
        <item x="4"/>
        <item x="3"/>
        <item x="0"/>
        <item x="2"/>
        <item x="1"/>
        <item t="default"/>
      </items>
    </pivotField>
    <pivotField compact="0" outline="0" showAll="0"/>
    <pivotField axis="axisCol" compact="0" outline="0" showAll="0">
      <items count="4">
        <item x="1"/>
        <item x="2"/>
        <item x="0"/>
        <item t="default"/>
      </items>
    </pivotField>
    <pivotField compact="0" outline="0" showAll="0"/>
    <pivotField compact="0" outline="0" showAll="0"/>
    <pivotField compact="0" outline="0" showAll="0"/>
    <pivotField compact="0" outline="0" showAll="0"/>
    <pivotField compact="0" outline="0" dragToRow="0" dragToCol="0" dragToPage="0" showAll="0" defaultSubtotal="0"/>
  </pivotFields>
  <rowFields count="1">
    <field x="2"/>
  </rowFields>
  <rowItems count="7">
    <i>
      <x/>
    </i>
    <i>
      <x v="1"/>
    </i>
    <i>
      <x v="2"/>
    </i>
    <i>
      <x v="3"/>
    </i>
    <i>
      <x v="4"/>
    </i>
    <i>
      <x v="5"/>
    </i>
    <i t="grand">
      <x/>
    </i>
  </rowItems>
  <colFields count="1">
    <field x="4"/>
  </colFields>
  <colItems count="4">
    <i>
      <x/>
    </i>
    <i>
      <x v="1"/>
    </i>
    <i>
      <x v="2"/>
    </i>
    <i t="grand">
      <x/>
    </i>
  </colItems>
  <dataFields count="1">
    <dataField name="Count of Request Name" fld="1" subtotal="count"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AD73E-67BA-409E-8EB5-CEC4672D98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H3" firstHeaderRow="1" firstDataRow="2" firstDataCol="1"/>
  <pivotFields count="10">
    <pivotField dataField="1" showAll="0"/>
    <pivotField showAll="0"/>
    <pivotField showAll="0"/>
    <pivotField axis="axisCol" showAll="0">
      <items count="8">
        <item x="1"/>
        <item x="4"/>
        <item x="3"/>
        <item x="5"/>
        <item x="2"/>
        <item x="0"/>
        <item m="1" x="6"/>
        <item t="default"/>
      </items>
    </pivotField>
    <pivotField showAll="0">
      <items count="4">
        <item x="1"/>
        <item x="2"/>
        <item x="0"/>
        <item t="default"/>
      </items>
    </pivotField>
    <pivotField numFmtId="164" showAll="0"/>
    <pivotField numFmtId="164" showAll="0"/>
    <pivotField showAll="0"/>
    <pivotField showAll="0"/>
    <pivotField dragToRow="0" dragToCol="0" dragToPage="0" showAll="0" defaultSubtotal="0"/>
  </pivotFields>
  <rowItems count="1">
    <i/>
  </rowItems>
  <colFields count="1">
    <field x="3"/>
  </colFields>
  <colItems count="7">
    <i>
      <x/>
    </i>
    <i>
      <x v="1"/>
    </i>
    <i>
      <x v="2"/>
    </i>
    <i>
      <x v="3"/>
    </i>
    <i>
      <x v="4"/>
    </i>
    <i>
      <x v="5"/>
    </i>
    <i t="grand">
      <x/>
    </i>
  </colItems>
  <dataFields count="1">
    <dataField name="Total Number of Request" fld="0" subtotal="count" baseField="0" baseItem="0"/>
  </dataFields>
  <chartFormats count="32">
    <chartFormat chart="0" format="9"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 chart="6" format="21" series="1">
      <pivotArea type="data" outline="0" fieldPosition="0">
        <references count="2">
          <reference field="4294967294" count="1" selected="0">
            <x v="0"/>
          </reference>
          <reference field="3" count="1" selected="0">
            <x v="1"/>
          </reference>
        </references>
      </pivotArea>
    </chartFormat>
    <chartFormat chart="6" format="22" series="1">
      <pivotArea type="data" outline="0" fieldPosition="0">
        <references count="2">
          <reference field="4294967294" count="1" selected="0">
            <x v="0"/>
          </reference>
          <reference field="3" count="1" selected="0">
            <x v="2"/>
          </reference>
        </references>
      </pivotArea>
    </chartFormat>
    <chartFormat chart="6" format="23" series="1">
      <pivotArea type="data" outline="0" fieldPosition="0">
        <references count="2">
          <reference field="4294967294" count="1" selected="0">
            <x v="0"/>
          </reference>
          <reference field="3" count="1" selected="0">
            <x v="3"/>
          </reference>
        </references>
      </pivotArea>
    </chartFormat>
    <chartFormat chart="6" format="24" series="1">
      <pivotArea type="data" outline="0" fieldPosition="0">
        <references count="2">
          <reference field="4294967294" count="1" selected="0">
            <x v="0"/>
          </reference>
          <reference field="3" count="1" selected="0">
            <x v="4"/>
          </reference>
        </references>
      </pivotArea>
    </chartFormat>
    <chartFormat chart="6" format="25" series="1">
      <pivotArea type="data" outline="0" fieldPosition="0">
        <references count="2">
          <reference field="4294967294" count="1" selected="0">
            <x v="0"/>
          </reference>
          <reference field="3" count="1" selected="0">
            <x v="5"/>
          </reference>
        </references>
      </pivotArea>
    </chartFormat>
    <chartFormat chart="5" format="17" series="1">
      <pivotArea type="data" outline="0" fieldPosition="0">
        <references count="2">
          <reference field="4294967294" count="1" selected="0">
            <x v="0"/>
          </reference>
          <reference field="3" count="1" selected="0">
            <x v="1"/>
          </reference>
        </references>
      </pivotArea>
    </chartFormat>
    <chartFormat chart="5" format="18" series="1">
      <pivotArea type="data" outline="0" fieldPosition="0">
        <references count="2">
          <reference field="4294967294" count="1" selected="0">
            <x v="0"/>
          </reference>
          <reference field="3" count="1" selected="0">
            <x v="2"/>
          </reference>
        </references>
      </pivotArea>
    </chartFormat>
    <chartFormat chart="5" format="19" series="1">
      <pivotArea type="data" outline="0" fieldPosition="0">
        <references count="2">
          <reference field="4294967294" count="1" selected="0">
            <x v="0"/>
          </reference>
          <reference field="3" count="1" selected="0">
            <x v="3"/>
          </reference>
        </references>
      </pivotArea>
    </chartFormat>
    <chartFormat chart="5" format="20" series="1">
      <pivotArea type="data" outline="0" fieldPosition="0">
        <references count="2">
          <reference field="4294967294" count="1" selected="0">
            <x v="0"/>
          </reference>
          <reference field="3" count="1" selected="0">
            <x v="4"/>
          </reference>
        </references>
      </pivotArea>
    </chartFormat>
    <chartFormat chart="5" format="21" series="1">
      <pivotArea type="data" outline="0" fieldPosition="0">
        <references count="2">
          <reference field="4294967294" count="1" selected="0">
            <x v="0"/>
          </reference>
          <reference field="3" count="1" selected="0">
            <x v="5"/>
          </reference>
        </references>
      </pivotArea>
    </chartFormat>
    <chartFormat chart="0" format="13" series="1">
      <pivotArea type="data" outline="0" fieldPosition="0">
        <references count="2">
          <reference field="4294967294" count="1" selected="0">
            <x v="0"/>
          </reference>
          <reference field="3" count="1" selected="0">
            <x v="1"/>
          </reference>
        </references>
      </pivotArea>
    </chartFormat>
    <chartFormat chart="0" format="14" series="1">
      <pivotArea type="data" outline="0" fieldPosition="0">
        <references count="2">
          <reference field="4294967294" count="1" selected="0">
            <x v="0"/>
          </reference>
          <reference field="3" count="1" selected="0">
            <x v="2"/>
          </reference>
        </references>
      </pivotArea>
    </chartFormat>
    <chartFormat chart="0" format="15" series="1">
      <pivotArea type="data" outline="0" fieldPosition="0">
        <references count="2">
          <reference field="4294967294" count="1" selected="0">
            <x v="0"/>
          </reference>
          <reference field="3" count="1" selected="0">
            <x v="3"/>
          </reference>
        </references>
      </pivotArea>
    </chartFormat>
    <chartFormat chart="0" format="16" series="1">
      <pivotArea type="data" outline="0" fieldPosition="0">
        <references count="2">
          <reference field="4294967294" count="1" selected="0">
            <x v="0"/>
          </reference>
          <reference field="3" count="1" selected="0">
            <x v="4"/>
          </reference>
        </references>
      </pivotArea>
    </chartFormat>
    <chartFormat chart="0" format="17" series="1">
      <pivotArea type="data" outline="0" fieldPosition="0">
        <references count="2">
          <reference field="4294967294" count="1" selected="0">
            <x v="0"/>
          </reference>
          <reference field="3" count="1" selected="0">
            <x v="5"/>
          </reference>
        </references>
      </pivotArea>
    </chartFormat>
    <chartFormat chart="0" format="18">
      <pivotArea type="data" outline="0" fieldPosition="0">
        <references count="2">
          <reference field="4294967294" count="1" selected="0">
            <x v="0"/>
          </reference>
          <reference field="3" count="1" selected="0">
            <x v="0"/>
          </reference>
        </references>
      </pivotArea>
    </chartFormat>
    <chartFormat chart="0" format="19">
      <pivotArea type="data" outline="0" fieldPosition="0">
        <references count="2">
          <reference field="4294967294" count="1" selected="0">
            <x v="0"/>
          </reference>
          <reference field="3" count="1" selected="0">
            <x v="1"/>
          </reference>
        </references>
      </pivotArea>
    </chartFormat>
    <chartFormat chart="0" format="20">
      <pivotArea type="data" outline="0" fieldPosition="0">
        <references count="2">
          <reference field="4294967294" count="1" selected="0">
            <x v="0"/>
          </reference>
          <reference field="3" count="1" selected="0">
            <x v="2"/>
          </reference>
        </references>
      </pivotArea>
    </chartFormat>
    <chartFormat chart="0" format="21">
      <pivotArea type="data" outline="0" fieldPosition="0">
        <references count="2">
          <reference field="4294967294" count="1" selected="0">
            <x v="0"/>
          </reference>
          <reference field="3" count="1" selected="0">
            <x v="3"/>
          </reference>
        </references>
      </pivotArea>
    </chartFormat>
    <chartFormat chart="0" format="22">
      <pivotArea type="data" outline="0" fieldPosition="0">
        <references count="2">
          <reference field="4294967294" count="1" selected="0">
            <x v="0"/>
          </reference>
          <reference field="3" count="1" selected="0">
            <x v="4"/>
          </reference>
        </references>
      </pivotArea>
    </chartFormat>
    <chartFormat chart="0" format="23">
      <pivotArea type="data" outline="0" fieldPosition="0">
        <references count="2">
          <reference field="4294967294" count="1" selected="0">
            <x v="0"/>
          </reference>
          <reference field="3" count="1" selected="0">
            <x v="5"/>
          </reference>
        </references>
      </pivotArea>
    </chartFormat>
    <chartFormat chart="14" format="27" series="1">
      <pivotArea type="data" outline="0" fieldPosition="0">
        <references count="1">
          <reference field="4294967294" count="1" selected="0">
            <x v="0"/>
          </reference>
        </references>
      </pivotArea>
    </chartFormat>
    <chartFormat chart="14" format="28" series="1">
      <pivotArea type="data" outline="0" fieldPosition="0">
        <references count="2">
          <reference field="4294967294" count="1" selected="0">
            <x v="0"/>
          </reference>
          <reference field="3" count="1" selected="0">
            <x v="1"/>
          </reference>
        </references>
      </pivotArea>
    </chartFormat>
    <chartFormat chart="14" format="29" series="1">
      <pivotArea type="data" outline="0" fieldPosition="0">
        <references count="2">
          <reference field="4294967294" count="1" selected="0">
            <x v="0"/>
          </reference>
          <reference field="3" count="1" selected="0">
            <x v="2"/>
          </reference>
        </references>
      </pivotArea>
    </chartFormat>
    <chartFormat chart="14" format="30" series="1">
      <pivotArea type="data" outline="0" fieldPosition="0">
        <references count="2">
          <reference field="4294967294" count="1" selected="0">
            <x v="0"/>
          </reference>
          <reference field="3" count="1" selected="0">
            <x v="3"/>
          </reference>
        </references>
      </pivotArea>
    </chartFormat>
    <chartFormat chart="14" format="31" series="1">
      <pivotArea type="data" outline="0" fieldPosition="0">
        <references count="2">
          <reference field="4294967294" count="1" selected="0">
            <x v="0"/>
          </reference>
          <reference field="3" count="1" selected="0">
            <x v="4"/>
          </reference>
        </references>
      </pivotArea>
    </chartFormat>
    <chartFormat chart="14" format="32" series="1">
      <pivotArea type="data" outline="0" fieldPosition="0">
        <references count="2">
          <reference field="4294967294" count="1" selected="0">
            <x v="0"/>
          </reference>
          <reference field="3" count="1" selected="0">
            <x v="5"/>
          </reference>
        </references>
      </pivotArea>
    </chartFormat>
    <chartFormat chart="6" format="26" series="1">
      <pivotArea type="data" outline="0" fieldPosition="0">
        <references count="2">
          <reference field="4294967294" count="1" selected="0">
            <x v="0"/>
          </reference>
          <reference field="3" count="1" selected="0">
            <x v="0"/>
          </reference>
        </references>
      </pivotArea>
    </chartFormat>
    <chartFormat chart="14" format="33"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ant" xr10:uid="{3D2B5340-8DB9-4DD0-98DC-085DD935AB25}" sourceName="Accountant">
  <pivotTables>
    <pivotTable tabId="4" name="PivotTable1"/>
    <pivotTable tabId="4" name="PivotTable2"/>
    <pivotTable tabId="4" name="PivotTable3"/>
    <pivotTable tabId="7" name="PivotTable5"/>
  </pivotTables>
  <data>
    <tabular pivotCacheId="1701979282">
      <items count="6">
        <i x="5" s="1"/>
        <i x="4" s="1"/>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ant" xr10:uid="{B162F938-A982-4B97-A45F-8A1488ACC543}" cache="Slicer_Accountant" caption="Accountant"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estTable" displayName="RequestTable" ref="A1:J50">
  <autoFilter ref="A1:J50" xr:uid="{00000000-0009-0000-0100-000001000000}"/>
  <tableColumns count="10">
    <tableColumn id="1" xr3:uid="{00000000-0010-0000-0000-000001000000}" name="Request ID"/>
    <tableColumn id="2" xr3:uid="{00000000-0010-0000-0000-000002000000}" name="Request Type"/>
    <tableColumn id="3" xr3:uid="{00000000-0010-0000-0000-000003000000}" name="Accountant"/>
    <tableColumn id="4" xr3:uid="{00000000-0010-0000-0000-000004000000}" name="Current Stage"/>
    <tableColumn id="10" xr3:uid="{EEB5A23E-5A7B-4E0F-A9A9-51E615ECFD01}" name="Officer Name"/>
    <tableColumn id="5" xr3:uid="{00000000-0010-0000-0000-000005000000}" name="Status"/>
    <tableColumn id="6" xr3:uid="{00000000-0010-0000-0000-000006000000}" name="Start Date"/>
    <tableColumn id="7" xr3:uid="{00000000-0010-0000-0000-000007000000}" name="Last Update Date"/>
    <tableColumn id="8" xr3:uid="{00000000-0010-0000-0000-000008000000}" name="Number of Days" dataDxfId="2">
      <calculatedColumnFormula>IF(G2="","",TODAY()-G2)</calculatedColumnFormula>
    </tableColumn>
    <tableColumn id="9" xr3:uid="{00000000-0010-0000-0000-000009000000}" name="Note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J50"/>
  <sheetViews>
    <sheetView showGridLines="0" workbookViewId="0">
      <selection activeCell="C10" sqref="C10"/>
    </sheetView>
  </sheetViews>
  <sheetFormatPr defaultRowHeight="14.4" x14ac:dyDescent="0.3"/>
  <cols>
    <col min="1" max="1" width="24" customWidth="1"/>
    <col min="2" max="2" width="20.88671875" customWidth="1"/>
    <col min="3" max="3" width="22" customWidth="1"/>
    <col min="4" max="4" width="20.77734375" customWidth="1"/>
    <col min="5" max="5" width="26.5546875" customWidth="1"/>
    <col min="6" max="6" width="27.44140625" customWidth="1"/>
    <col min="7" max="7" width="26.88671875" customWidth="1"/>
    <col min="8" max="8" width="18.6640625" customWidth="1"/>
    <col min="9" max="9" width="31.109375" customWidth="1"/>
    <col min="10" max="10" width="125.77734375" customWidth="1"/>
  </cols>
  <sheetData>
    <row r="1" spans="1:10" x14ac:dyDescent="0.3">
      <c r="A1" t="s">
        <v>0</v>
      </c>
      <c r="B1" t="s">
        <v>134</v>
      </c>
      <c r="C1" t="s">
        <v>1</v>
      </c>
      <c r="D1" t="s">
        <v>2</v>
      </c>
      <c r="E1" t="s">
        <v>136</v>
      </c>
      <c r="F1" t="s">
        <v>3</v>
      </c>
      <c r="G1" t="s">
        <v>4</v>
      </c>
      <c r="H1" t="s">
        <v>5</v>
      </c>
      <c r="I1" t="s">
        <v>6</v>
      </c>
      <c r="J1" t="s">
        <v>7</v>
      </c>
    </row>
    <row r="2" spans="1:10" x14ac:dyDescent="0.3">
      <c r="A2" t="s">
        <v>8</v>
      </c>
      <c r="B2" t="s">
        <v>9</v>
      </c>
      <c r="C2" t="s">
        <v>10</v>
      </c>
      <c r="D2" t="s">
        <v>11</v>
      </c>
      <c r="F2" t="s">
        <v>12</v>
      </c>
      <c r="G2" s="1">
        <v>46082</v>
      </c>
      <c r="H2" s="1">
        <v>46083</v>
      </c>
      <c r="I2">
        <f t="shared" ref="I2:I33" ca="1" si="0">IF(G2="","",TODAY()-G2)</f>
        <v>32</v>
      </c>
      <c r="J2" t="s">
        <v>13</v>
      </c>
    </row>
    <row r="3" spans="1:10" x14ac:dyDescent="0.3">
      <c r="A3" t="s">
        <v>14</v>
      </c>
      <c r="B3" t="s">
        <v>15</v>
      </c>
      <c r="C3" t="s">
        <v>16</v>
      </c>
      <c r="D3" t="s">
        <v>135</v>
      </c>
      <c r="F3" t="s">
        <v>17</v>
      </c>
      <c r="G3" s="1">
        <v>46095</v>
      </c>
      <c r="H3" s="1">
        <v>46095</v>
      </c>
      <c r="I3">
        <f t="shared" ca="1" si="0"/>
        <v>19</v>
      </c>
      <c r="J3" t="s">
        <v>18</v>
      </c>
    </row>
    <row r="4" spans="1:10" x14ac:dyDescent="0.3">
      <c r="A4" t="s">
        <v>19</v>
      </c>
      <c r="B4" t="s">
        <v>20</v>
      </c>
      <c r="C4" t="s">
        <v>10</v>
      </c>
      <c r="D4" t="s">
        <v>11</v>
      </c>
      <c r="F4" t="s">
        <v>12</v>
      </c>
      <c r="G4" s="1">
        <v>46046</v>
      </c>
      <c r="H4" s="1">
        <v>46053</v>
      </c>
      <c r="I4">
        <f t="shared" ca="1" si="0"/>
        <v>68</v>
      </c>
      <c r="J4" t="s">
        <v>21</v>
      </c>
    </row>
    <row r="5" spans="1:10" x14ac:dyDescent="0.3">
      <c r="A5" t="s">
        <v>22</v>
      </c>
      <c r="B5" t="s">
        <v>23</v>
      </c>
      <c r="C5" t="s">
        <v>24</v>
      </c>
      <c r="D5" t="s">
        <v>25</v>
      </c>
      <c r="F5" t="s">
        <v>12</v>
      </c>
      <c r="G5" s="1">
        <v>46089</v>
      </c>
      <c r="H5" s="1">
        <v>46093</v>
      </c>
      <c r="I5">
        <f t="shared" ca="1" si="0"/>
        <v>25</v>
      </c>
      <c r="J5" t="s">
        <v>26</v>
      </c>
    </row>
    <row r="6" spans="1:10" x14ac:dyDescent="0.3">
      <c r="A6" t="s">
        <v>27</v>
      </c>
      <c r="B6" t="s">
        <v>28</v>
      </c>
      <c r="C6" t="s">
        <v>29</v>
      </c>
      <c r="D6" t="s">
        <v>30</v>
      </c>
      <c r="F6" t="s">
        <v>31</v>
      </c>
      <c r="G6" s="1">
        <v>46026</v>
      </c>
      <c r="H6" s="1">
        <v>46030</v>
      </c>
      <c r="I6">
        <f t="shared" ca="1" si="0"/>
        <v>88</v>
      </c>
      <c r="J6" t="s">
        <v>32</v>
      </c>
    </row>
    <row r="7" spans="1:10" x14ac:dyDescent="0.3">
      <c r="A7" t="s">
        <v>33</v>
      </c>
      <c r="B7" t="s">
        <v>34</v>
      </c>
      <c r="C7" t="s">
        <v>10</v>
      </c>
      <c r="D7" t="s">
        <v>30</v>
      </c>
      <c r="F7" t="s">
        <v>12</v>
      </c>
      <c r="G7" s="1">
        <v>46084</v>
      </c>
      <c r="H7" s="1">
        <v>46086</v>
      </c>
      <c r="I7">
        <f t="shared" ca="1" si="0"/>
        <v>30</v>
      </c>
      <c r="J7" t="s">
        <v>18</v>
      </c>
    </row>
    <row r="8" spans="1:10" x14ac:dyDescent="0.3">
      <c r="A8" t="s">
        <v>35</v>
      </c>
      <c r="B8" t="s">
        <v>36</v>
      </c>
      <c r="C8" t="s">
        <v>10</v>
      </c>
      <c r="D8" t="s">
        <v>25</v>
      </c>
      <c r="F8" t="s">
        <v>12</v>
      </c>
      <c r="G8" s="1">
        <v>46056</v>
      </c>
      <c r="H8" s="1">
        <v>46063</v>
      </c>
      <c r="I8">
        <f t="shared" ca="1" si="0"/>
        <v>58</v>
      </c>
      <c r="J8" t="s">
        <v>21</v>
      </c>
    </row>
    <row r="9" spans="1:10" x14ac:dyDescent="0.3">
      <c r="A9" t="s">
        <v>37</v>
      </c>
      <c r="B9" t="s">
        <v>38</v>
      </c>
      <c r="C9" t="s">
        <v>39</v>
      </c>
      <c r="D9" t="s">
        <v>11</v>
      </c>
      <c r="F9" t="s">
        <v>31</v>
      </c>
      <c r="G9" s="1">
        <v>46082</v>
      </c>
      <c r="H9" s="1">
        <v>46087</v>
      </c>
      <c r="I9">
        <f t="shared" ca="1" si="0"/>
        <v>32</v>
      </c>
      <c r="J9" t="s">
        <v>40</v>
      </c>
    </row>
    <row r="10" spans="1:10" x14ac:dyDescent="0.3">
      <c r="A10" t="s">
        <v>41</v>
      </c>
      <c r="B10" t="s">
        <v>42</v>
      </c>
      <c r="C10" t="s">
        <v>10</v>
      </c>
      <c r="D10" t="s">
        <v>43</v>
      </c>
      <c r="F10" t="s">
        <v>12</v>
      </c>
      <c r="G10" s="1">
        <v>46051</v>
      </c>
      <c r="H10" s="1">
        <v>46051</v>
      </c>
      <c r="I10">
        <f t="shared" ca="1" si="0"/>
        <v>63</v>
      </c>
      <c r="J10" t="s">
        <v>18</v>
      </c>
    </row>
    <row r="11" spans="1:10" x14ac:dyDescent="0.3">
      <c r="A11" t="s">
        <v>44</v>
      </c>
      <c r="B11" t="s">
        <v>45</v>
      </c>
      <c r="C11" t="s">
        <v>39</v>
      </c>
      <c r="D11" t="s">
        <v>43</v>
      </c>
      <c r="F11" t="s">
        <v>17</v>
      </c>
      <c r="G11" s="1">
        <v>46071</v>
      </c>
      <c r="H11" s="1">
        <v>46081</v>
      </c>
      <c r="I11">
        <f t="shared" ca="1" si="0"/>
        <v>43</v>
      </c>
      <c r="J11" t="s">
        <v>26</v>
      </c>
    </row>
    <row r="12" spans="1:10" x14ac:dyDescent="0.3">
      <c r="A12" t="s">
        <v>46</v>
      </c>
      <c r="B12" t="s">
        <v>47</v>
      </c>
      <c r="C12" t="s">
        <v>48</v>
      </c>
      <c r="D12" t="s">
        <v>49</v>
      </c>
      <c r="F12" t="s">
        <v>17</v>
      </c>
      <c r="G12" s="1">
        <v>46064</v>
      </c>
      <c r="H12" s="1">
        <v>46072</v>
      </c>
      <c r="I12">
        <f t="shared" ca="1" si="0"/>
        <v>50</v>
      </c>
      <c r="J12" t="s">
        <v>13</v>
      </c>
    </row>
    <row r="13" spans="1:10" x14ac:dyDescent="0.3">
      <c r="A13" t="s">
        <v>50</v>
      </c>
      <c r="B13" t="s">
        <v>51</v>
      </c>
      <c r="C13" t="s">
        <v>29</v>
      </c>
      <c r="D13" t="s">
        <v>11</v>
      </c>
      <c r="F13" t="s">
        <v>17</v>
      </c>
      <c r="G13" s="1">
        <v>46103</v>
      </c>
      <c r="H13" s="1">
        <v>46110</v>
      </c>
      <c r="I13">
        <f t="shared" ca="1" si="0"/>
        <v>11</v>
      </c>
      <c r="J13" t="s">
        <v>26</v>
      </c>
    </row>
    <row r="14" spans="1:10" x14ac:dyDescent="0.3">
      <c r="A14" t="s">
        <v>52</v>
      </c>
      <c r="B14" t="s">
        <v>53</v>
      </c>
      <c r="C14" t="s">
        <v>24</v>
      </c>
      <c r="D14" t="s">
        <v>30</v>
      </c>
      <c r="F14" t="s">
        <v>31</v>
      </c>
      <c r="G14" s="1">
        <v>46044</v>
      </c>
      <c r="H14" s="1">
        <v>46054</v>
      </c>
      <c r="I14">
        <f t="shared" ca="1" si="0"/>
        <v>70</v>
      </c>
      <c r="J14" t="s">
        <v>40</v>
      </c>
    </row>
    <row r="15" spans="1:10" x14ac:dyDescent="0.3">
      <c r="A15" t="s">
        <v>54</v>
      </c>
      <c r="B15" t="s">
        <v>55</v>
      </c>
      <c r="C15" t="s">
        <v>16</v>
      </c>
      <c r="D15" t="s">
        <v>1</v>
      </c>
      <c r="F15" t="s">
        <v>17</v>
      </c>
      <c r="G15" s="1">
        <v>46036</v>
      </c>
      <c r="H15" s="1">
        <v>46046</v>
      </c>
      <c r="I15">
        <f t="shared" ca="1" si="0"/>
        <v>78</v>
      </c>
      <c r="J15" t="s">
        <v>26</v>
      </c>
    </row>
    <row r="16" spans="1:10" x14ac:dyDescent="0.3">
      <c r="A16" t="s">
        <v>56</v>
      </c>
      <c r="B16" t="s">
        <v>57</v>
      </c>
      <c r="C16" t="s">
        <v>29</v>
      </c>
      <c r="D16" t="s">
        <v>30</v>
      </c>
      <c r="F16" t="s">
        <v>17</v>
      </c>
      <c r="G16" s="1">
        <v>46104</v>
      </c>
      <c r="H16" s="1">
        <v>46104</v>
      </c>
      <c r="I16">
        <f t="shared" ca="1" si="0"/>
        <v>10</v>
      </c>
      <c r="J16" t="s">
        <v>21</v>
      </c>
    </row>
    <row r="17" spans="1:10" x14ac:dyDescent="0.3">
      <c r="A17" t="s">
        <v>58</v>
      </c>
      <c r="B17" t="s">
        <v>59</v>
      </c>
      <c r="C17" t="s">
        <v>39</v>
      </c>
      <c r="D17" t="s">
        <v>49</v>
      </c>
      <c r="F17" t="s">
        <v>31</v>
      </c>
      <c r="G17" s="1">
        <v>46024</v>
      </c>
      <c r="H17" s="1">
        <v>46034</v>
      </c>
      <c r="I17">
        <f t="shared" ca="1" si="0"/>
        <v>90</v>
      </c>
      <c r="J17" t="s">
        <v>13</v>
      </c>
    </row>
    <row r="18" spans="1:10" x14ac:dyDescent="0.3">
      <c r="A18" t="s">
        <v>60</v>
      </c>
      <c r="B18" t="s">
        <v>61</v>
      </c>
      <c r="C18" t="s">
        <v>29</v>
      </c>
      <c r="D18" t="s">
        <v>43</v>
      </c>
      <c r="F18" t="s">
        <v>17</v>
      </c>
      <c r="G18" s="1">
        <v>46089</v>
      </c>
      <c r="H18" s="1">
        <v>46098</v>
      </c>
      <c r="I18">
        <f t="shared" ca="1" si="0"/>
        <v>25</v>
      </c>
      <c r="J18" t="s">
        <v>32</v>
      </c>
    </row>
    <row r="19" spans="1:10" x14ac:dyDescent="0.3">
      <c r="A19" t="s">
        <v>62</v>
      </c>
      <c r="B19" t="s">
        <v>63</v>
      </c>
      <c r="C19" t="s">
        <v>24</v>
      </c>
      <c r="D19" t="s">
        <v>43</v>
      </c>
      <c r="F19" t="s">
        <v>12</v>
      </c>
      <c r="G19" s="1">
        <v>46046</v>
      </c>
      <c r="H19" s="1">
        <v>46048</v>
      </c>
      <c r="I19">
        <f t="shared" ca="1" si="0"/>
        <v>68</v>
      </c>
      <c r="J19" t="s">
        <v>18</v>
      </c>
    </row>
    <row r="20" spans="1:10" x14ac:dyDescent="0.3">
      <c r="A20" t="s">
        <v>64</v>
      </c>
      <c r="B20" t="s">
        <v>65</v>
      </c>
      <c r="C20" t="s">
        <v>48</v>
      </c>
      <c r="D20" t="s">
        <v>11</v>
      </c>
      <c r="F20" t="s">
        <v>17</v>
      </c>
      <c r="G20" s="1">
        <v>46075</v>
      </c>
      <c r="H20" s="1">
        <v>46080</v>
      </c>
      <c r="I20">
        <f t="shared" ca="1" si="0"/>
        <v>39</v>
      </c>
      <c r="J20" t="s">
        <v>13</v>
      </c>
    </row>
    <row r="21" spans="1:10" x14ac:dyDescent="0.3">
      <c r="A21" t="s">
        <v>66</v>
      </c>
      <c r="B21" t="s">
        <v>67</v>
      </c>
      <c r="C21" t="s">
        <v>39</v>
      </c>
      <c r="D21" t="s">
        <v>43</v>
      </c>
      <c r="F21" t="s">
        <v>31</v>
      </c>
      <c r="G21" s="1">
        <v>46063</v>
      </c>
      <c r="H21" s="1">
        <v>46070</v>
      </c>
      <c r="I21">
        <f t="shared" ca="1" si="0"/>
        <v>51</v>
      </c>
      <c r="J21" t="s">
        <v>32</v>
      </c>
    </row>
    <row r="22" spans="1:10" x14ac:dyDescent="0.3">
      <c r="A22" t="s">
        <v>68</v>
      </c>
      <c r="B22" t="s">
        <v>69</v>
      </c>
      <c r="C22" t="s">
        <v>29</v>
      </c>
      <c r="D22" t="s">
        <v>30</v>
      </c>
      <c r="F22" t="s">
        <v>31</v>
      </c>
      <c r="G22" s="1">
        <v>46035</v>
      </c>
      <c r="H22" s="1">
        <v>46036</v>
      </c>
      <c r="I22">
        <f t="shared" ca="1" si="0"/>
        <v>79</v>
      </c>
      <c r="J22" t="s">
        <v>13</v>
      </c>
    </row>
    <row r="23" spans="1:10" x14ac:dyDescent="0.3">
      <c r="A23" t="s">
        <v>70</v>
      </c>
      <c r="B23" t="s">
        <v>71</v>
      </c>
      <c r="C23" t="s">
        <v>16</v>
      </c>
      <c r="D23" t="s">
        <v>1</v>
      </c>
      <c r="F23" t="s">
        <v>12</v>
      </c>
      <c r="G23" s="1">
        <v>46104</v>
      </c>
      <c r="H23" s="1">
        <v>46109</v>
      </c>
      <c r="I23">
        <f t="shared" ca="1" si="0"/>
        <v>10</v>
      </c>
      <c r="J23" t="s">
        <v>40</v>
      </c>
    </row>
    <row r="24" spans="1:10" x14ac:dyDescent="0.3">
      <c r="A24" t="s">
        <v>72</v>
      </c>
      <c r="B24" t="s">
        <v>73</v>
      </c>
      <c r="C24" t="s">
        <v>48</v>
      </c>
      <c r="D24" t="s">
        <v>49</v>
      </c>
      <c r="F24" t="s">
        <v>12</v>
      </c>
      <c r="G24" s="1">
        <v>46060</v>
      </c>
      <c r="H24" s="1">
        <v>46065</v>
      </c>
      <c r="I24">
        <f t="shared" ca="1" si="0"/>
        <v>54</v>
      </c>
      <c r="J24" t="s">
        <v>32</v>
      </c>
    </row>
    <row r="25" spans="1:10" x14ac:dyDescent="0.3">
      <c r="A25" t="s">
        <v>74</v>
      </c>
      <c r="B25" t="s">
        <v>75</v>
      </c>
      <c r="C25" t="s">
        <v>10</v>
      </c>
      <c r="D25" t="s">
        <v>11</v>
      </c>
      <c r="F25" t="s">
        <v>17</v>
      </c>
      <c r="G25" s="1">
        <v>46063</v>
      </c>
      <c r="H25" s="1">
        <v>46064</v>
      </c>
      <c r="I25">
        <f t="shared" ca="1" si="0"/>
        <v>51</v>
      </c>
      <c r="J25" t="s">
        <v>32</v>
      </c>
    </row>
    <row r="26" spans="1:10" x14ac:dyDescent="0.3">
      <c r="A26" t="s">
        <v>76</v>
      </c>
      <c r="B26" t="s">
        <v>77</v>
      </c>
      <c r="C26" t="s">
        <v>48</v>
      </c>
      <c r="D26" t="s">
        <v>30</v>
      </c>
      <c r="F26" t="s">
        <v>31</v>
      </c>
      <c r="G26" s="1">
        <v>46049</v>
      </c>
      <c r="H26" s="1">
        <v>46055</v>
      </c>
      <c r="I26">
        <f t="shared" ca="1" si="0"/>
        <v>65</v>
      </c>
      <c r="J26" t="s">
        <v>21</v>
      </c>
    </row>
    <row r="27" spans="1:10" x14ac:dyDescent="0.3">
      <c r="A27" t="s">
        <v>78</v>
      </c>
      <c r="B27" t="s">
        <v>79</v>
      </c>
      <c r="C27" t="s">
        <v>29</v>
      </c>
      <c r="D27" t="s">
        <v>43</v>
      </c>
      <c r="F27" t="s">
        <v>12</v>
      </c>
      <c r="G27" s="1">
        <v>46081</v>
      </c>
      <c r="H27" s="1">
        <v>46084</v>
      </c>
      <c r="I27">
        <f t="shared" ca="1" si="0"/>
        <v>33</v>
      </c>
      <c r="J27" t="s">
        <v>13</v>
      </c>
    </row>
    <row r="28" spans="1:10" x14ac:dyDescent="0.3">
      <c r="A28" t="s">
        <v>80</v>
      </c>
      <c r="B28" t="s">
        <v>81</v>
      </c>
      <c r="C28" t="s">
        <v>48</v>
      </c>
      <c r="D28" t="s">
        <v>25</v>
      </c>
      <c r="F28" t="s">
        <v>31</v>
      </c>
      <c r="G28" s="1">
        <v>46054</v>
      </c>
      <c r="H28" s="1">
        <v>46055</v>
      </c>
      <c r="I28">
        <f t="shared" ca="1" si="0"/>
        <v>60</v>
      </c>
      <c r="J28" t="s">
        <v>13</v>
      </c>
    </row>
    <row r="29" spans="1:10" x14ac:dyDescent="0.3">
      <c r="A29" t="s">
        <v>82</v>
      </c>
      <c r="B29" t="s">
        <v>83</v>
      </c>
      <c r="C29" t="s">
        <v>39</v>
      </c>
      <c r="D29" t="s">
        <v>49</v>
      </c>
      <c r="F29" t="s">
        <v>17</v>
      </c>
      <c r="G29" s="1">
        <v>46100</v>
      </c>
      <c r="H29" s="1">
        <v>46110</v>
      </c>
      <c r="I29">
        <f t="shared" ca="1" si="0"/>
        <v>14</v>
      </c>
      <c r="J29" t="s">
        <v>21</v>
      </c>
    </row>
    <row r="30" spans="1:10" x14ac:dyDescent="0.3">
      <c r="A30" t="s">
        <v>84</v>
      </c>
      <c r="B30" t="s">
        <v>85</v>
      </c>
      <c r="C30" t="s">
        <v>39</v>
      </c>
      <c r="D30" t="s">
        <v>1</v>
      </c>
      <c r="F30" t="s">
        <v>12</v>
      </c>
      <c r="G30" s="1">
        <v>46050</v>
      </c>
      <c r="H30" s="1">
        <v>46052</v>
      </c>
      <c r="I30">
        <f t="shared" ca="1" si="0"/>
        <v>64</v>
      </c>
      <c r="J30" t="s">
        <v>13</v>
      </c>
    </row>
    <row r="31" spans="1:10" x14ac:dyDescent="0.3">
      <c r="A31" t="s">
        <v>86</v>
      </c>
      <c r="B31" t="s">
        <v>87</v>
      </c>
      <c r="C31" t="s">
        <v>16</v>
      </c>
      <c r="D31" t="s">
        <v>30</v>
      </c>
      <c r="F31" t="s">
        <v>17</v>
      </c>
      <c r="G31" s="1">
        <v>46044</v>
      </c>
      <c r="H31" s="1">
        <v>46047</v>
      </c>
      <c r="I31">
        <f t="shared" ca="1" si="0"/>
        <v>70</v>
      </c>
      <c r="J31" t="s">
        <v>32</v>
      </c>
    </row>
    <row r="32" spans="1:10" x14ac:dyDescent="0.3">
      <c r="A32" t="s">
        <v>88</v>
      </c>
      <c r="B32" t="s">
        <v>89</v>
      </c>
      <c r="C32" t="s">
        <v>48</v>
      </c>
      <c r="D32" t="s">
        <v>11</v>
      </c>
      <c r="F32" t="s">
        <v>17</v>
      </c>
      <c r="G32" s="1">
        <v>46110</v>
      </c>
      <c r="H32" s="1">
        <v>46113</v>
      </c>
      <c r="I32">
        <f t="shared" ca="1" si="0"/>
        <v>4</v>
      </c>
      <c r="J32" t="s">
        <v>18</v>
      </c>
    </row>
    <row r="33" spans="1:10" x14ac:dyDescent="0.3">
      <c r="A33" t="s">
        <v>90</v>
      </c>
      <c r="B33" t="s">
        <v>91</v>
      </c>
      <c r="C33" t="s">
        <v>16</v>
      </c>
      <c r="D33" t="s">
        <v>11</v>
      </c>
      <c r="F33" t="s">
        <v>31</v>
      </c>
      <c r="G33" s="1">
        <v>46040</v>
      </c>
      <c r="H33" s="1">
        <v>46045</v>
      </c>
      <c r="I33">
        <f t="shared" ca="1" si="0"/>
        <v>74</v>
      </c>
      <c r="J33" t="s">
        <v>13</v>
      </c>
    </row>
    <row r="34" spans="1:10" x14ac:dyDescent="0.3">
      <c r="A34" t="s">
        <v>92</v>
      </c>
      <c r="B34" t="s">
        <v>93</v>
      </c>
      <c r="C34" t="s">
        <v>10</v>
      </c>
      <c r="D34" t="s">
        <v>11</v>
      </c>
      <c r="F34" t="s">
        <v>17</v>
      </c>
      <c r="G34" s="1">
        <v>46042</v>
      </c>
      <c r="H34" s="1">
        <v>46052</v>
      </c>
      <c r="I34">
        <f t="shared" ref="I34:I50" ca="1" si="1">IF(G34="","",TODAY()-G34)</f>
        <v>72</v>
      </c>
      <c r="J34" t="s">
        <v>13</v>
      </c>
    </row>
    <row r="35" spans="1:10" x14ac:dyDescent="0.3">
      <c r="A35" t="s">
        <v>94</v>
      </c>
      <c r="B35" t="s">
        <v>95</v>
      </c>
      <c r="C35" t="s">
        <v>29</v>
      </c>
      <c r="D35" t="s">
        <v>30</v>
      </c>
      <c r="F35" t="s">
        <v>12</v>
      </c>
      <c r="G35" s="1">
        <v>46082</v>
      </c>
      <c r="H35" s="1">
        <v>46083</v>
      </c>
      <c r="I35">
        <f t="shared" ca="1" si="1"/>
        <v>32</v>
      </c>
      <c r="J35" t="s">
        <v>13</v>
      </c>
    </row>
    <row r="36" spans="1:10" x14ac:dyDescent="0.3">
      <c r="A36" t="s">
        <v>96</v>
      </c>
      <c r="B36" t="s">
        <v>97</v>
      </c>
      <c r="C36" t="s">
        <v>29</v>
      </c>
      <c r="D36" t="s">
        <v>43</v>
      </c>
      <c r="F36" t="s">
        <v>12</v>
      </c>
      <c r="G36" s="1">
        <v>46108</v>
      </c>
      <c r="H36" s="1">
        <v>46113</v>
      </c>
      <c r="I36">
        <f t="shared" ca="1" si="1"/>
        <v>6</v>
      </c>
      <c r="J36" t="s">
        <v>21</v>
      </c>
    </row>
    <row r="37" spans="1:10" x14ac:dyDescent="0.3">
      <c r="A37" t="s">
        <v>98</v>
      </c>
      <c r="B37" t="s">
        <v>99</v>
      </c>
      <c r="C37" t="s">
        <v>29</v>
      </c>
      <c r="D37" t="s">
        <v>1</v>
      </c>
      <c r="F37" t="s">
        <v>17</v>
      </c>
      <c r="G37" s="1">
        <v>46086</v>
      </c>
      <c r="H37" s="1">
        <v>46091</v>
      </c>
      <c r="I37">
        <f t="shared" ca="1" si="1"/>
        <v>28</v>
      </c>
      <c r="J37" t="s">
        <v>18</v>
      </c>
    </row>
    <row r="38" spans="1:10" x14ac:dyDescent="0.3">
      <c r="A38" t="s">
        <v>100</v>
      </c>
      <c r="B38" t="s">
        <v>101</v>
      </c>
      <c r="C38" t="s">
        <v>48</v>
      </c>
      <c r="D38" t="s">
        <v>30</v>
      </c>
      <c r="F38" t="s">
        <v>31</v>
      </c>
      <c r="G38" s="1">
        <v>46075</v>
      </c>
      <c r="H38" s="1">
        <v>46077</v>
      </c>
      <c r="I38">
        <f t="shared" ca="1" si="1"/>
        <v>39</v>
      </c>
      <c r="J38" t="s">
        <v>32</v>
      </c>
    </row>
    <row r="39" spans="1:10" x14ac:dyDescent="0.3">
      <c r="A39" t="s">
        <v>102</v>
      </c>
      <c r="B39" t="s">
        <v>103</v>
      </c>
      <c r="C39" t="s">
        <v>48</v>
      </c>
      <c r="D39" t="s">
        <v>25</v>
      </c>
      <c r="F39" t="s">
        <v>17</v>
      </c>
      <c r="G39" s="1">
        <v>46024</v>
      </c>
      <c r="H39" s="1">
        <v>46025</v>
      </c>
      <c r="I39">
        <f t="shared" ca="1" si="1"/>
        <v>90</v>
      </c>
      <c r="J39" t="s">
        <v>21</v>
      </c>
    </row>
    <row r="40" spans="1:10" x14ac:dyDescent="0.3">
      <c r="A40" t="s">
        <v>104</v>
      </c>
      <c r="B40" t="s">
        <v>105</v>
      </c>
      <c r="C40" t="s">
        <v>16</v>
      </c>
      <c r="D40" t="s">
        <v>30</v>
      </c>
      <c r="F40" t="s">
        <v>17</v>
      </c>
      <c r="G40" s="1">
        <v>46077</v>
      </c>
      <c r="H40" s="1">
        <v>46084</v>
      </c>
      <c r="I40">
        <f t="shared" ca="1" si="1"/>
        <v>37</v>
      </c>
      <c r="J40" t="s">
        <v>18</v>
      </c>
    </row>
    <row r="41" spans="1:10" x14ac:dyDescent="0.3">
      <c r="A41" t="s">
        <v>106</v>
      </c>
      <c r="B41" t="s">
        <v>107</v>
      </c>
      <c r="C41" t="s">
        <v>10</v>
      </c>
      <c r="D41" t="s">
        <v>25</v>
      </c>
      <c r="F41" t="s">
        <v>31</v>
      </c>
      <c r="G41" s="1">
        <v>46101</v>
      </c>
      <c r="H41" s="1">
        <v>46110</v>
      </c>
      <c r="I41">
        <f t="shared" ca="1" si="1"/>
        <v>13</v>
      </c>
      <c r="J41" t="s">
        <v>40</v>
      </c>
    </row>
    <row r="42" spans="1:10" x14ac:dyDescent="0.3">
      <c r="A42" t="s">
        <v>108</v>
      </c>
      <c r="B42" t="s">
        <v>109</v>
      </c>
      <c r="C42" t="s">
        <v>10</v>
      </c>
      <c r="D42" t="s">
        <v>30</v>
      </c>
      <c r="F42" t="s">
        <v>12</v>
      </c>
      <c r="G42" s="1">
        <v>46065</v>
      </c>
      <c r="H42" s="1">
        <v>46075</v>
      </c>
      <c r="I42">
        <f t="shared" ca="1" si="1"/>
        <v>49</v>
      </c>
      <c r="J42" t="s">
        <v>21</v>
      </c>
    </row>
    <row r="43" spans="1:10" x14ac:dyDescent="0.3">
      <c r="A43" t="s">
        <v>110</v>
      </c>
      <c r="B43" t="s">
        <v>111</v>
      </c>
      <c r="C43" t="s">
        <v>10</v>
      </c>
      <c r="D43" t="s">
        <v>11</v>
      </c>
      <c r="F43" t="s">
        <v>17</v>
      </c>
      <c r="G43" s="1">
        <v>46091</v>
      </c>
      <c r="H43" s="1">
        <v>46101</v>
      </c>
      <c r="I43">
        <f t="shared" ca="1" si="1"/>
        <v>23</v>
      </c>
      <c r="J43" t="s">
        <v>26</v>
      </c>
    </row>
    <row r="44" spans="1:10" x14ac:dyDescent="0.3">
      <c r="A44" t="s">
        <v>112</v>
      </c>
      <c r="B44" t="s">
        <v>113</v>
      </c>
      <c r="C44" t="s">
        <v>24</v>
      </c>
      <c r="D44" t="s">
        <v>11</v>
      </c>
      <c r="F44" t="s">
        <v>12</v>
      </c>
      <c r="G44" s="1">
        <v>46095</v>
      </c>
      <c r="H44" s="1">
        <v>46098</v>
      </c>
      <c r="I44">
        <f t="shared" ca="1" si="1"/>
        <v>19</v>
      </c>
      <c r="J44" t="s">
        <v>26</v>
      </c>
    </row>
    <row r="45" spans="1:10" x14ac:dyDescent="0.3">
      <c r="A45" t="s">
        <v>114</v>
      </c>
      <c r="B45" t="s">
        <v>115</v>
      </c>
      <c r="C45" t="s">
        <v>10</v>
      </c>
      <c r="D45" t="s">
        <v>1</v>
      </c>
      <c r="F45" t="s">
        <v>12</v>
      </c>
      <c r="G45" s="1">
        <v>46077</v>
      </c>
      <c r="H45" s="1">
        <v>46086</v>
      </c>
      <c r="I45">
        <f t="shared" ca="1" si="1"/>
        <v>37</v>
      </c>
      <c r="J45" t="s">
        <v>26</v>
      </c>
    </row>
    <row r="46" spans="1:10" x14ac:dyDescent="0.3">
      <c r="A46" t="s">
        <v>116</v>
      </c>
      <c r="B46" t="s">
        <v>117</v>
      </c>
      <c r="C46" t="s">
        <v>10</v>
      </c>
      <c r="D46" t="s">
        <v>11</v>
      </c>
      <c r="F46" t="s">
        <v>17</v>
      </c>
      <c r="G46" s="1">
        <v>46026</v>
      </c>
      <c r="H46" s="1">
        <v>46028</v>
      </c>
      <c r="I46">
        <f t="shared" ca="1" si="1"/>
        <v>88</v>
      </c>
      <c r="J46" t="s">
        <v>32</v>
      </c>
    </row>
    <row r="47" spans="1:10" x14ac:dyDescent="0.3">
      <c r="A47" t="s">
        <v>118</v>
      </c>
      <c r="B47" t="s">
        <v>119</v>
      </c>
      <c r="C47" t="s">
        <v>10</v>
      </c>
      <c r="D47" t="s">
        <v>25</v>
      </c>
      <c r="F47" t="s">
        <v>12</v>
      </c>
      <c r="G47" s="1">
        <v>46057</v>
      </c>
      <c r="H47" s="1">
        <v>46065</v>
      </c>
      <c r="I47">
        <f t="shared" ca="1" si="1"/>
        <v>57</v>
      </c>
      <c r="J47" t="s">
        <v>18</v>
      </c>
    </row>
    <row r="48" spans="1:10" x14ac:dyDescent="0.3">
      <c r="A48" t="s">
        <v>120</v>
      </c>
      <c r="B48" t="s">
        <v>121</v>
      </c>
      <c r="C48" t="s">
        <v>48</v>
      </c>
      <c r="D48" t="s">
        <v>49</v>
      </c>
      <c r="F48" t="s">
        <v>31</v>
      </c>
      <c r="G48" s="1">
        <v>46070</v>
      </c>
      <c r="H48" s="1">
        <v>46076</v>
      </c>
      <c r="I48">
        <f t="shared" ca="1" si="1"/>
        <v>44</v>
      </c>
      <c r="J48" t="s">
        <v>26</v>
      </c>
    </row>
    <row r="49" spans="1:10" x14ac:dyDescent="0.3">
      <c r="A49" t="s">
        <v>122</v>
      </c>
      <c r="B49" t="s">
        <v>123</v>
      </c>
      <c r="C49" t="s">
        <v>48</v>
      </c>
      <c r="D49" t="s">
        <v>30</v>
      </c>
      <c r="F49" t="s">
        <v>12</v>
      </c>
      <c r="G49" s="1">
        <v>46092</v>
      </c>
      <c r="H49" s="1">
        <v>46099</v>
      </c>
      <c r="I49">
        <f t="shared" ca="1" si="1"/>
        <v>22</v>
      </c>
      <c r="J49" t="s">
        <v>13</v>
      </c>
    </row>
    <row r="50" spans="1:10" x14ac:dyDescent="0.3">
      <c r="A50" t="s">
        <v>124</v>
      </c>
      <c r="B50" t="s">
        <v>125</v>
      </c>
      <c r="C50" t="s">
        <v>10</v>
      </c>
      <c r="D50" t="s">
        <v>25</v>
      </c>
      <c r="F50" t="s">
        <v>31</v>
      </c>
      <c r="G50" s="1">
        <v>46055</v>
      </c>
      <c r="H50" s="1">
        <v>46061</v>
      </c>
      <c r="I50">
        <f t="shared" ca="1" si="1"/>
        <v>59</v>
      </c>
      <c r="J50" t="s">
        <v>13</v>
      </c>
    </row>
  </sheetData>
  <dataValidations count="3">
    <dataValidation type="list" allowBlank="1" sqref="D51:D985" xr:uid="{00000000-0002-0000-0000-000000000000}">
      <formula1>"Accountant,Supervisor,Reviewer,Audit,Budget,Bank"</formula1>
    </dataValidation>
    <dataValidation type="list" allowBlank="1" showInputMessage="1" showErrorMessage="1" sqref="D2:D50" xr:uid="{35812E5A-585A-4243-ADC3-2468CF4DF854}">
      <formula1>"Accountant,Lieutenant,Reviewer,Audit,Budget,Bank"</formula1>
    </dataValidation>
    <dataValidation type="list" allowBlank="1" sqref="E51:E985 F2:F50" xr:uid="{00000000-0002-0000-0000-000001000000}">
      <formula1>"Completed,In Progress,On Hold"</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C269-BAA6-4511-9604-95446AB52F7B}">
  <sheetPr>
    <tabColor theme="5" tint="0.39997558519241921"/>
  </sheetPr>
  <dimension ref="A2:H22"/>
  <sheetViews>
    <sheetView showGridLines="0" tabSelected="1" workbookViewId="0">
      <selection activeCell="N15" sqref="A1:XFD1048576"/>
    </sheetView>
  </sheetViews>
  <sheetFormatPr defaultRowHeight="14.4" x14ac:dyDescent="0.3"/>
  <cols>
    <col min="1" max="1" width="18.5546875" customWidth="1"/>
    <col min="2" max="2" width="18.88671875" customWidth="1"/>
    <col min="3" max="4" width="10.21875" bestFit="1" customWidth="1"/>
    <col min="5" max="5" width="10.77734375" bestFit="1" customWidth="1"/>
    <col min="6" max="6" width="14.109375" bestFit="1" customWidth="1"/>
    <col min="7" max="7" width="13.5546875" customWidth="1"/>
    <col min="8" max="8" width="14.109375" bestFit="1" customWidth="1"/>
    <col min="11" max="11" width="11.109375" customWidth="1"/>
    <col min="14" max="14" width="11.33203125" customWidth="1"/>
    <col min="15" max="15" width="19.21875" customWidth="1"/>
  </cols>
  <sheetData>
    <row r="2" spans="1:8" x14ac:dyDescent="0.3">
      <c r="A2" s="4" t="s">
        <v>127</v>
      </c>
      <c r="B2" s="4"/>
    </row>
    <row r="3" spans="1:8" x14ac:dyDescent="0.3">
      <c r="A3" s="2" t="s">
        <v>2</v>
      </c>
      <c r="B3" t="s">
        <v>132</v>
      </c>
    </row>
    <row r="4" spans="1:8" x14ac:dyDescent="0.3">
      <c r="A4" t="s">
        <v>1</v>
      </c>
      <c r="B4" s="3">
        <v>6</v>
      </c>
    </row>
    <row r="5" spans="1:8" x14ac:dyDescent="0.3">
      <c r="A5" t="s">
        <v>43</v>
      </c>
      <c r="B5" s="3">
        <v>7</v>
      </c>
    </row>
    <row r="6" spans="1:8" x14ac:dyDescent="0.3">
      <c r="A6" t="s">
        <v>30</v>
      </c>
      <c r="B6" s="3">
        <v>12</v>
      </c>
    </row>
    <row r="7" spans="1:8" x14ac:dyDescent="0.3">
      <c r="A7" t="s">
        <v>49</v>
      </c>
      <c r="B7" s="3">
        <v>5</v>
      </c>
    </row>
    <row r="8" spans="1:8" x14ac:dyDescent="0.3">
      <c r="A8" t="s">
        <v>25</v>
      </c>
      <c r="B8" s="3">
        <v>7</v>
      </c>
    </row>
    <row r="9" spans="1:8" x14ac:dyDescent="0.3">
      <c r="A9" t="s">
        <v>11</v>
      </c>
      <c r="B9" s="3">
        <v>12</v>
      </c>
    </row>
    <row r="10" spans="1:8" x14ac:dyDescent="0.3">
      <c r="A10" t="s">
        <v>126</v>
      </c>
      <c r="B10" s="3">
        <v>49</v>
      </c>
    </row>
    <row r="13" spans="1:8" x14ac:dyDescent="0.3">
      <c r="A13" s="4" t="s">
        <v>130</v>
      </c>
      <c r="B13" s="4"/>
    </row>
    <row r="14" spans="1:8" x14ac:dyDescent="0.3">
      <c r="A14" s="2" t="s">
        <v>131</v>
      </c>
      <c r="B14" s="2" t="s">
        <v>3</v>
      </c>
    </row>
    <row r="15" spans="1:8" x14ac:dyDescent="0.3">
      <c r="A15" s="2" t="s">
        <v>1</v>
      </c>
      <c r="B15" t="s">
        <v>17</v>
      </c>
      <c r="C15" t="s">
        <v>31</v>
      </c>
      <c r="D15" t="s">
        <v>12</v>
      </c>
      <c r="E15" t="s">
        <v>126</v>
      </c>
      <c r="G15" s="4" t="s">
        <v>128</v>
      </c>
      <c r="H15" s="4"/>
    </row>
    <row r="16" spans="1:8" x14ac:dyDescent="0.3">
      <c r="A16" t="s">
        <v>48</v>
      </c>
      <c r="B16" s="3">
        <v>4</v>
      </c>
      <c r="C16" s="3">
        <v>4</v>
      </c>
      <c r="D16" s="3">
        <v>2</v>
      </c>
      <c r="E16" s="3">
        <v>10</v>
      </c>
      <c r="G16" s="2" t="s">
        <v>3</v>
      </c>
      <c r="H16" t="s">
        <v>129</v>
      </c>
    </row>
    <row r="17" spans="1:8" x14ac:dyDescent="0.3">
      <c r="A17" t="s">
        <v>39</v>
      </c>
      <c r="B17" s="3">
        <v>2</v>
      </c>
      <c r="C17" s="3">
        <v>3</v>
      </c>
      <c r="D17" s="3">
        <v>1</v>
      </c>
      <c r="E17" s="3">
        <v>6</v>
      </c>
      <c r="G17" t="s">
        <v>17</v>
      </c>
      <c r="H17" s="3">
        <v>18</v>
      </c>
    </row>
    <row r="18" spans="1:8" x14ac:dyDescent="0.3">
      <c r="A18" t="s">
        <v>29</v>
      </c>
      <c r="B18" s="3">
        <v>4</v>
      </c>
      <c r="C18" s="3">
        <v>2</v>
      </c>
      <c r="D18" s="3">
        <v>3</v>
      </c>
      <c r="E18" s="3">
        <v>9</v>
      </c>
      <c r="G18" t="s">
        <v>31</v>
      </c>
      <c r="H18" s="3">
        <v>13</v>
      </c>
    </row>
    <row r="19" spans="1:8" x14ac:dyDescent="0.3">
      <c r="A19" t="s">
        <v>10</v>
      </c>
      <c r="B19" s="3">
        <v>4</v>
      </c>
      <c r="C19" s="3">
        <v>2</v>
      </c>
      <c r="D19" s="3">
        <v>8</v>
      </c>
      <c r="E19" s="3">
        <v>14</v>
      </c>
      <c r="G19" t="s">
        <v>12</v>
      </c>
      <c r="H19" s="3">
        <v>18</v>
      </c>
    </row>
    <row r="20" spans="1:8" x14ac:dyDescent="0.3">
      <c r="A20" t="s">
        <v>24</v>
      </c>
      <c r="B20" s="3"/>
      <c r="C20" s="3">
        <v>1</v>
      </c>
      <c r="D20" s="3">
        <v>3</v>
      </c>
      <c r="E20" s="3">
        <v>4</v>
      </c>
      <c r="G20" t="s">
        <v>126</v>
      </c>
      <c r="H20" s="3">
        <v>49</v>
      </c>
    </row>
    <row r="21" spans="1:8" x14ac:dyDescent="0.3">
      <c r="A21" t="s">
        <v>16</v>
      </c>
      <c r="B21" s="3">
        <v>4</v>
      </c>
      <c r="C21" s="3">
        <v>1</v>
      </c>
      <c r="D21" s="3">
        <v>1</v>
      </c>
      <c r="E21" s="3">
        <v>6</v>
      </c>
    </row>
    <row r="22" spans="1:8" x14ac:dyDescent="0.3">
      <c r="A22" t="s">
        <v>126</v>
      </c>
      <c r="B22" s="3">
        <v>18</v>
      </c>
      <c r="C22" s="3">
        <v>13</v>
      </c>
      <c r="D22" s="3">
        <v>18</v>
      </c>
      <c r="E22" s="3">
        <v>49</v>
      </c>
    </row>
  </sheetData>
  <mergeCells count="3">
    <mergeCell ref="A2:B2"/>
    <mergeCell ref="G15:H15"/>
    <mergeCell ref="A13:B13"/>
  </mergeCells>
  <pageMargins left="0.7" right="0.7" top="0.75" bottom="0.75" header="0.3" footer="0.3"/>
  <pageSetup orientation="landscape"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E639-8314-4EFE-9C1B-9D93F70E6927}">
  <sheetPr>
    <tabColor theme="5" tint="-0.249977111117893"/>
  </sheetPr>
  <dimension ref="A1"/>
  <sheetViews>
    <sheetView showGridLines="0" workbookViewId="0">
      <selection activeCell="O15" sqref="O15"/>
    </sheetView>
  </sheetViews>
  <sheetFormatPr defaultRowHeight="14.4" x14ac:dyDescent="0.3"/>
  <cols>
    <col min="1" max="1" width="12.5546875" bestFit="1" customWidth="1"/>
    <col min="2" max="2" width="22.3320312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E022-ED4E-4FAF-A3A8-D9556C11711E}">
  <sheetPr>
    <tabColor theme="5" tint="0.39997558519241921"/>
  </sheetPr>
  <dimension ref="A1:H19"/>
  <sheetViews>
    <sheetView workbookViewId="0">
      <selection activeCell="M20" sqref="M20"/>
    </sheetView>
  </sheetViews>
  <sheetFormatPr defaultRowHeight="14.4" x14ac:dyDescent="0.3"/>
  <cols>
    <col min="1" max="1" width="22.33203125" bestFit="1" customWidth="1"/>
    <col min="2" max="2" width="15.5546875" bestFit="1" customWidth="1"/>
    <col min="3" max="3" width="5.5546875" bestFit="1" customWidth="1"/>
    <col min="4" max="4" width="5.21875" bestFit="1" customWidth="1"/>
    <col min="5" max="5" width="13.77734375" customWidth="1"/>
    <col min="6" max="6" width="8.6640625" bestFit="1" customWidth="1"/>
    <col min="7" max="7" width="9.88671875" bestFit="1" customWidth="1"/>
    <col min="8" max="8" width="10.77734375" bestFit="1" customWidth="1"/>
  </cols>
  <sheetData>
    <row r="1" spans="1:8" x14ac:dyDescent="0.3">
      <c r="B1" s="2" t="s">
        <v>137</v>
      </c>
    </row>
    <row r="2" spans="1:8" x14ac:dyDescent="0.3">
      <c r="B2" t="s">
        <v>1</v>
      </c>
      <c r="C2" t="s">
        <v>43</v>
      </c>
      <c r="D2" t="s">
        <v>30</v>
      </c>
      <c r="E2" t="s">
        <v>49</v>
      </c>
      <c r="F2" t="s">
        <v>25</v>
      </c>
      <c r="G2" t="s">
        <v>11</v>
      </c>
      <c r="H2" t="s">
        <v>126</v>
      </c>
    </row>
    <row r="3" spans="1:8" x14ac:dyDescent="0.3">
      <c r="A3" t="s">
        <v>133</v>
      </c>
      <c r="B3" s="3">
        <v>6</v>
      </c>
      <c r="C3" s="3">
        <v>7</v>
      </c>
      <c r="D3" s="3">
        <v>12</v>
      </c>
      <c r="E3" s="3">
        <v>5</v>
      </c>
      <c r="F3" s="3">
        <v>7</v>
      </c>
      <c r="G3" s="3">
        <v>12</v>
      </c>
      <c r="H3" s="3">
        <v>49</v>
      </c>
    </row>
    <row r="11" spans="1:8" x14ac:dyDescent="0.3">
      <c r="A11" s="2" t="s">
        <v>131</v>
      </c>
      <c r="B11" s="2" t="s">
        <v>3</v>
      </c>
    </row>
    <row r="12" spans="1:8" x14ac:dyDescent="0.3">
      <c r="A12" s="2" t="s">
        <v>1</v>
      </c>
      <c r="B12" t="s">
        <v>17</v>
      </c>
      <c r="C12" t="s">
        <v>31</v>
      </c>
      <c r="D12" t="s">
        <v>12</v>
      </c>
      <c r="E12" t="s">
        <v>126</v>
      </c>
    </row>
    <row r="13" spans="1:8" x14ac:dyDescent="0.3">
      <c r="A13" t="s">
        <v>48</v>
      </c>
      <c r="B13" s="3">
        <v>4</v>
      </c>
      <c r="C13" s="3">
        <v>4</v>
      </c>
      <c r="D13" s="3">
        <v>2</v>
      </c>
      <c r="E13" s="3">
        <v>10</v>
      </c>
    </row>
    <row r="14" spans="1:8" x14ac:dyDescent="0.3">
      <c r="A14" t="s">
        <v>39</v>
      </c>
      <c r="B14" s="3">
        <v>2</v>
      </c>
      <c r="C14" s="3">
        <v>3</v>
      </c>
      <c r="D14" s="3">
        <v>1</v>
      </c>
      <c r="E14" s="3">
        <v>6</v>
      </c>
    </row>
    <row r="15" spans="1:8" x14ac:dyDescent="0.3">
      <c r="A15" t="s">
        <v>29</v>
      </c>
      <c r="B15" s="3">
        <v>4</v>
      </c>
      <c r="C15" s="3">
        <v>2</v>
      </c>
      <c r="D15" s="3">
        <v>3</v>
      </c>
      <c r="E15" s="3">
        <v>9</v>
      </c>
    </row>
    <row r="16" spans="1:8" x14ac:dyDescent="0.3">
      <c r="A16" t="s">
        <v>10</v>
      </c>
      <c r="B16" s="3">
        <v>4</v>
      </c>
      <c r="C16" s="3">
        <v>2</v>
      </c>
      <c r="D16" s="3">
        <v>8</v>
      </c>
      <c r="E16" s="3">
        <v>14</v>
      </c>
    </row>
    <row r="17" spans="1:5" x14ac:dyDescent="0.3">
      <c r="A17" t="s">
        <v>24</v>
      </c>
      <c r="B17" s="3"/>
      <c r="C17" s="3">
        <v>1</v>
      </c>
      <c r="D17" s="3">
        <v>3</v>
      </c>
      <c r="E17" s="3">
        <v>4</v>
      </c>
    </row>
    <row r="18" spans="1:5" x14ac:dyDescent="0.3">
      <c r="A18" t="s">
        <v>16</v>
      </c>
      <c r="B18" s="3">
        <v>4</v>
      </c>
      <c r="C18" s="3">
        <v>1</v>
      </c>
      <c r="D18" s="3">
        <v>1</v>
      </c>
      <c r="E18" s="3">
        <v>6</v>
      </c>
    </row>
    <row r="19" spans="1:5" x14ac:dyDescent="0.3">
      <c r="A19" t="s">
        <v>126</v>
      </c>
      <c r="B19" s="3">
        <v>18</v>
      </c>
      <c r="C19" s="3">
        <v>13</v>
      </c>
      <c r="D19" s="3">
        <v>18</v>
      </c>
      <c r="E19" s="3">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Tracking</vt:lpstr>
      <vt:lpstr>Summary</vt:lpstr>
      <vt:lpstr>DashBoard</vt:lpstr>
      <vt:lpstr>Backend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 Ahmed</cp:lastModifiedBy>
  <cp:lastPrinted>2026-04-02T16:57:11Z</cp:lastPrinted>
  <dcterms:created xsi:type="dcterms:W3CDTF">2026-04-02T12:59:25Z</dcterms:created>
  <dcterms:modified xsi:type="dcterms:W3CDTF">2026-04-02T16:57:52Z</dcterms:modified>
</cp:coreProperties>
</file>