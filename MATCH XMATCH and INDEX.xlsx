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raingFramework\Excel\Session3\"/>
    </mc:Choice>
  </mc:AlternateContent>
  <xr:revisionPtr revIDLastSave="0" documentId="13_ncr:1_{32EAC1D8-0781-423A-AA5D-AFB37167F274}" xr6:coauthVersionLast="47" xr6:coauthVersionMax="47" xr10:uidLastSave="{00000000-0000-0000-0000-000000000000}"/>
  <bookViews>
    <workbookView xWindow="-108" yWindow="-108" windowWidth="23256" windowHeight="12456" tabRatio="824" activeTab="5" xr2:uid="{00000000-000D-0000-FFFF-FFFF00000000}"/>
  </bookViews>
  <sheets>
    <sheet name="MATCH" sheetId="7" r:id="rId1"/>
    <sheet name="XMATCH" sheetId="15" r:id="rId2"/>
    <sheet name="INDEX" sheetId="8" r:id="rId3"/>
    <sheet name="INDEX with MATCH" sheetId="12" r:id="rId4"/>
    <sheet name="Filter" sheetId="16" r:id="rId5"/>
    <sheet name="Filter and Index" sheetId="17" r:id="rId6"/>
  </sheets>
  <externalReferences>
    <externalReference r:id="rId7"/>
  </externalReferences>
  <definedNames>
    <definedName name="_xlnm._FilterDatabase" localSheetId="0" hidden="1">MATCH!$A$1:$C$204</definedName>
    <definedName name="ee" localSheetId="3" hidden="1">{"FirstQ",#N/A,FALSE,"Budget2000";"SecondQ",#N/A,FALSE,"Budget2000";"Summary",#N/A,FALSE,"Budget2000"}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Income" localSheetId="3">#REF!</definedName>
    <definedName name="k" localSheetId="3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3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ateTable">[1]Lookups!$A$2:$B$8</definedName>
    <definedName name="rr" localSheetId="3" hidden="1">{"FirstQ",#N/A,FALSE,"Budget2000";"SecondQ",#N/A,FALSE,"Budget2000"}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3" hidden="1">{"AllDetail",#N/A,FALSE,"Research Budget";"1stQuarter",#N/A,FALSE,"Research Budget";"2nd Quarter",#N/A,FALSE,"Research Budget";"Summary",#N/A,FALSE,"Research Budget"}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3" hidden="1">{"FirstQ",#N/A,FALSE,"Budget2000";"SecondQ",#N/A,FALSE,"Budget2000";"Summary",#N/A,FALSE,"Budget2000"}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3" hidden="1">{"FirstQ",#N/A,FALSE,"Budget2000";"SecondQ",#N/A,FALSE,"Budget2000"}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3" hidden="1">{"FirstQ",#N/A,FALSE,"Budget2000";"SecondQ",#N/A,FALSE,"Budget2000";"Summary",#N/A,FALSE,"Budget2000"}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3" hidden="1">{"AllDetail",#N/A,FALSE,"Research Budget";"1stQuarter",#N/A,FALSE,"Research Budget";"2nd Quarter",#N/A,FALSE,"Research Budget";"Summary",#N/A,FALSE,"Research Budget"}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6" l="1" a="1"/>
  <c r="F9" i="16" s="1"/>
  <c r="J8" i="12"/>
  <c r="R3" i="8" a="1"/>
  <c r="R3" i="8"/>
  <c r="R4" i="8" a="1"/>
  <c r="R4" i="8"/>
  <c r="R5" i="8" a="1"/>
  <c r="R5" i="8" s="1"/>
  <c r="R6" i="8" a="1"/>
  <c r="R6" i="8"/>
  <c r="R7" i="8" a="1"/>
  <c r="R7" i="8"/>
  <c r="R8" i="8" a="1"/>
  <c r="R8" i="8"/>
  <c r="R9" i="8" a="1"/>
  <c r="R9" i="8" s="1"/>
  <c r="R10" i="8" a="1"/>
  <c r="R10" i="8"/>
  <c r="R11" i="8" a="1"/>
  <c r="R11" i="8"/>
  <c r="R12" i="8" a="1"/>
  <c r="R12" i="8"/>
  <c r="R13" i="8" a="1"/>
  <c r="R13" i="8" s="1"/>
  <c r="R14" i="8" a="1"/>
  <c r="R14" i="8"/>
  <c r="R15" i="8" a="1"/>
  <c r="R15" i="8"/>
  <c r="R16" i="8" a="1"/>
  <c r="R16" i="8"/>
  <c r="R17" i="8" a="1"/>
  <c r="R17" i="8" s="1"/>
  <c r="R18" i="8" a="1"/>
  <c r="R18" i="8"/>
  <c r="R19" i="8" a="1"/>
  <c r="R19" i="8"/>
  <c r="R20" i="8" a="1"/>
  <c r="R20" i="8"/>
  <c r="R21" i="8" a="1"/>
  <c r="R21" i="8" s="1"/>
  <c r="R22" i="8" a="1"/>
  <c r="R22" i="8"/>
  <c r="R23" i="8" a="1"/>
  <c r="R23" i="8"/>
  <c r="R24" i="8" a="1"/>
  <c r="R24" i="8"/>
  <c r="R25" i="8" a="1"/>
  <c r="R25" i="8" s="1"/>
  <c r="R26" i="8" a="1"/>
  <c r="R26" i="8"/>
  <c r="R27" i="8" a="1"/>
  <c r="R27" i="8"/>
  <c r="R28" i="8" a="1"/>
  <c r="R28" i="8"/>
  <c r="R29" i="8" a="1"/>
  <c r="R29" i="8" s="1"/>
  <c r="R30" i="8" a="1"/>
  <c r="R30" i="8"/>
  <c r="R31" i="8" a="1"/>
  <c r="R31" i="8"/>
  <c r="R32" i="8" a="1"/>
  <c r="R32" i="8"/>
  <c r="R33" i="8" a="1"/>
  <c r="R33" i="8" s="1"/>
  <c r="R34" i="8" a="1"/>
  <c r="R34" i="8"/>
  <c r="R35" i="8" a="1"/>
  <c r="R35" i="8"/>
  <c r="R36" i="8" a="1"/>
  <c r="R36" i="8"/>
  <c r="R37" i="8" a="1"/>
  <c r="R37" i="8" s="1"/>
  <c r="R38" i="8" a="1"/>
  <c r="R38" i="8"/>
  <c r="R39" i="8" a="1"/>
  <c r="R39" i="8"/>
  <c r="R40" i="8" a="1"/>
  <c r="R40" i="8"/>
  <c r="R41" i="8" a="1"/>
  <c r="R41" i="8" s="1"/>
  <c r="R42" i="8" a="1"/>
  <c r="R42" i="8"/>
  <c r="R43" i="8" a="1"/>
  <c r="R43" i="8"/>
  <c r="R44" i="8" a="1"/>
  <c r="R44" i="8"/>
  <c r="R45" i="8" a="1"/>
  <c r="R45" i="8" s="1"/>
  <c r="R46" i="8" a="1"/>
  <c r="R46" i="8"/>
  <c r="R47" i="8" a="1"/>
  <c r="R47" i="8"/>
  <c r="R48" i="8" a="1"/>
  <c r="R48" i="8"/>
  <c r="R49" i="8" a="1"/>
  <c r="R49" i="8" s="1"/>
  <c r="R50" i="8" a="1"/>
  <c r="R50" i="8"/>
  <c r="R51" i="8" a="1"/>
  <c r="R51" i="8"/>
  <c r="R52" i="8" a="1"/>
  <c r="R52" i="8"/>
  <c r="R53" i="8" a="1"/>
  <c r="R53" i="8" s="1"/>
  <c r="R54" i="8" a="1"/>
  <c r="R54" i="8"/>
  <c r="R55" i="8" a="1"/>
  <c r="R55" i="8"/>
  <c r="R56" i="8" a="1"/>
  <c r="R56" i="8"/>
  <c r="R57" i="8" a="1"/>
  <c r="R57" i="8" s="1"/>
  <c r="R58" i="8" a="1"/>
  <c r="R58" i="8"/>
  <c r="R59" i="8" a="1"/>
  <c r="R59" i="8"/>
  <c r="R60" i="8" a="1"/>
  <c r="R60" i="8"/>
  <c r="R61" i="8" a="1"/>
  <c r="R61" i="8" s="1"/>
  <c r="R62" i="8" a="1"/>
  <c r="R62" i="8"/>
  <c r="R63" i="8" a="1"/>
  <c r="R63" i="8"/>
  <c r="R64" i="8" a="1"/>
  <c r="R64" i="8"/>
  <c r="R65" i="8" a="1"/>
  <c r="R65" i="8" s="1"/>
  <c r="R66" i="8" a="1"/>
  <c r="R66" i="8"/>
  <c r="R67" i="8" a="1"/>
  <c r="R67" i="8"/>
  <c r="R68" i="8" a="1"/>
  <c r="R68" i="8"/>
  <c r="R69" i="8" a="1"/>
  <c r="R69" i="8" s="1"/>
  <c r="R70" i="8" a="1"/>
  <c r="R70" i="8"/>
  <c r="R71" i="8" a="1"/>
  <c r="R71" i="8"/>
  <c r="R72" i="8" a="1"/>
  <c r="R72" i="8"/>
  <c r="R73" i="8" a="1"/>
  <c r="R73" i="8" s="1"/>
  <c r="R74" i="8" a="1"/>
  <c r="R74" i="8"/>
  <c r="R75" i="8" a="1"/>
  <c r="R75" i="8"/>
  <c r="R76" i="8" a="1"/>
  <c r="R76" i="8"/>
  <c r="R77" i="8" a="1"/>
  <c r="R77" i="8" s="1"/>
  <c r="R78" i="8" a="1"/>
  <c r="R78" i="8"/>
  <c r="R79" i="8" a="1"/>
  <c r="R79" i="8"/>
  <c r="R80" i="8" a="1"/>
  <c r="R80" i="8"/>
  <c r="R81" i="8" a="1"/>
  <c r="R81" i="8" s="1"/>
  <c r="R82" i="8" a="1"/>
  <c r="R82" i="8"/>
  <c r="R83" i="8" a="1"/>
  <c r="R83" i="8"/>
  <c r="R84" i="8" a="1"/>
  <c r="R84" i="8"/>
  <c r="R85" i="8" a="1"/>
  <c r="R85" i="8" s="1"/>
  <c r="R86" i="8" a="1"/>
  <c r="R86" i="8"/>
  <c r="R87" i="8" a="1"/>
  <c r="R87" i="8" s="1"/>
  <c r="R88" i="8" a="1"/>
  <c r="R88" i="8"/>
  <c r="R89" i="8" a="1"/>
  <c r="R89" i="8" s="1"/>
  <c r="R90" i="8" a="1"/>
  <c r="R90" i="8"/>
  <c r="R91" i="8" a="1"/>
  <c r="R91" i="8"/>
  <c r="R92" i="8" a="1"/>
  <c r="R92" i="8"/>
  <c r="R93" i="8" a="1"/>
  <c r="R93" i="8" s="1"/>
  <c r="R94" i="8" a="1"/>
  <c r="R94" i="8"/>
  <c r="R95" i="8" a="1"/>
  <c r="R95" i="8" s="1"/>
  <c r="R96" i="8" a="1"/>
  <c r="R96" i="8"/>
  <c r="R97" i="8" a="1"/>
  <c r="R97" i="8" s="1"/>
  <c r="R98" i="8" a="1"/>
  <c r="R98" i="8"/>
  <c r="R99" i="8" a="1"/>
  <c r="R99" i="8"/>
  <c r="R100" i="8" a="1"/>
  <c r="R100" i="8"/>
  <c r="R101" i="8" a="1"/>
  <c r="R101" i="8" s="1"/>
  <c r="R102" i="8" a="1"/>
  <c r="R102" i="8"/>
  <c r="R103" i="8" a="1"/>
  <c r="R103" i="8" s="1"/>
  <c r="R104" i="8" a="1"/>
  <c r="R104" i="8"/>
  <c r="R105" i="8" a="1"/>
  <c r="R105" i="8" s="1"/>
  <c r="R106" i="8" a="1"/>
  <c r="R106" i="8"/>
  <c r="R107" i="8" a="1"/>
  <c r="R107" i="8"/>
  <c r="R108" i="8" a="1"/>
  <c r="R108" i="8"/>
  <c r="R109" i="8" a="1"/>
  <c r="R109" i="8" s="1"/>
  <c r="R110" i="8" a="1"/>
  <c r="R110" i="8"/>
  <c r="R111" i="8" a="1"/>
  <c r="R111" i="8"/>
  <c r="R112" i="8" a="1"/>
  <c r="R112" i="8"/>
  <c r="R113" i="8" a="1"/>
  <c r="R113" i="8" s="1"/>
  <c r="R114" i="8" a="1"/>
  <c r="R114" i="8"/>
  <c r="R115" i="8" a="1"/>
  <c r="R115" i="8"/>
  <c r="R116" i="8" a="1"/>
  <c r="R116" i="8"/>
  <c r="R117" i="8" a="1"/>
  <c r="R117" i="8" s="1"/>
  <c r="R118" i="8" a="1"/>
  <c r="R118" i="8"/>
  <c r="R119" i="8" a="1"/>
  <c r="R119" i="8" s="1"/>
  <c r="R120" i="8" a="1"/>
  <c r="R120" i="8"/>
  <c r="R121" i="8" a="1"/>
  <c r="R121" i="8" s="1"/>
  <c r="R122" i="8" a="1"/>
  <c r="R122" i="8"/>
  <c r="R123" i="8" a="1"/>
  <c r="R123" i="8"/>
  <c r="R124" i="8" a="1"/>
  <c r="R124" i="8"/>
  <c r="R125" i="8" a="1"/>
  <c r="R125" i="8" s="1"/>
  <c r="R126" i="8" a="1"/>
  <c r="R126" i="8"/>
  <c r="R127" i="8" a="1"/>
  <c r="R127" i="8" s="1"/>
  <c r="R128" i="8" a="1"/>
  <c r="R128" i="8"/>
  <c r="R129" i="8" a="1"/>
  <c r="R129" i="8" s="1"/>
  <c r="R130" i="8" a="1"/>
  <c r="R130" i="8"/>
  <c r="R131" i="8" a="1"/>
  <c r="R131" i="8" s="1"/>
  <c r="R132" i="8" a="1"/>
  <c r="R132" i="8"/>
  <c r="R133" i="8" a="1"/>
  <c r="R133" i="8" s="1"/>
  <c r="R134" i="8" a="1"/>
  <c r="R134" i="8"/>
  <c r="R135" i="8" a="1"/>
  <c r="R135" i="8" s="1"/>
  <c r="R136" i="8" a="1"/>
  <c r="R136" i="8"/>
  <c r="R137" i="8" a="1"/>
  <c r="R137" i="8" s="1"/>
  <c r="R138" i="8" a="1"/>
  <c r="R138" i="8"/>
  <c r="R139" i="8" a="1"/>
  <c r="R139" i="8"/>
  <c r="R140" i="8" a="1"/>
  <c r="R140" i="8"/>
  <c r="R141" i="8" a="1"/>
  <c r="R141" i="8" s="1"/>
  <c r="R142" i="8" a="1"/>
  <c r="R142" i="8"/>
  <c r="R143" i="8" a="1"/>
  <c r="R143" i="8"/>
  <c r="R144" i="8" a="1"/>
  <c r="R144" i="8"/>
  <c r="R145" i="8" a="1"/>
  <c r="R145" i="8" s="1"/>
  <c r="R146" i="8" a="1"/>
  <c r="R146" i="8"/>
  <c r="R147" i="8" a="1"/>
  <c r="R147" i="8"/>
  <c r="R148" i="8" a="1"/>
  <c r="R148" i="8"/>
  <c r="R149" i="8" a="1"/>
  <c r="R149" i="8" s="1"/>
  <c r="R150" i="8" a="1"/>
  <c r="R150" i="8"/>
  <c r="R151" i="8" a="1"/>
  <c r="R151" i="8" s="1"/>
  <c r="R152" i="8" a="1"/>
  <c r="R152" i="8"/>
  <c r="R153" i="8" a="1"/>
  <c r="R153" i="8" s="1"/>
  <c r="R154" i="8" a="1"/>
  <c r="R154" i="8"/>
  <c r="R155" i="8" a="1"/>
  <c r="R155" i="8"/>
  <c r="R156" i="8" a="1"/>
  <c r="R156" i="8"/>
  <c r="R157" i="8" a="1"/>
  <c r="R157" i="8" s="1"/>
  <c r="R158" i="8" a="1"/>
  <c r="R158" i="8"/>
  <c r="R159" i="8" a="1"/>
  <c r="R159" i="8" s="1"/>
  <c r="R160" i="8" a="1"/>
  <c r="R160" i="8"/>
  <c r="R161" i="8" a="1"/>
  <c r="R161" i="8" s="1"/>
  <c r="R162" i="8" a="1"/>
  <c r="R162" i="8"/>
  <c r="R163" i="8" a="1"/>
  <c r="R163" i="8"/>
  <c r="R164" i="8" a="1"/>
  <c r="R164" i="8"/>
  <c r="R165" i="8" a="1"/>
  <c r="R165" i="8" s="1"/>
  <c r="R166" i="8" a="1"/>
  <c r="R166" i="8"/>
  <c r="R167" i="8" a="1"/>
  <c r="R167" i="8" s="1"/>
  <c r="R168" i="8" a="1"/>
  <c r="R168" i="8" s="1"/>
  <c r="R169" i="8" a="1"/>
  <c r="R169" i="8" s="1"/>
  <c r="R170" i="8" a="1"/>
  <c r="R170" i="8"/>
  <c r="R171" i="8" a="1"/>
  <c r="R171" i="8"/>
  <c r="R172" i="8" a="1"/>
  <c r="R172" i="8"/>
  <c r="R173" i="8" a="1"/>
  <c r="R173" i="8" s="1"/>
  <c r="R174" i="8" a="1"/>
  <c r="R174" i="8"/>
  <c r="R175" i="8" a="1"/>
  <c r="R175" i="8"/>
  <c r="R176" i="8" a="1"/>
  <c r="R176" i="8" s="1"/>
  <c r="R177" i="8" a="1"/>
  <c r="R177" i="8" s="1"/>
  <c r="R178" i="8" a="1"/>
  <c r="R178" i="8"/>
  <c r="R179" i="8" a="1"/>
  <c r="R179" i="8"/>
  <c r="R180" i="8" a="1"/>
  <c r="R180" i="8"/>
  <c r="R181" i="8" a="1"/>
  <c r="R181" i="8" s="1"/>
  <c r="R182" i="8" a="1"/>
  <c r="R182" i="8"/>
  <c r="R183" i="8" a="1"/>
  <c r="R183" i="8" s="1"/>
  <c r="R184" i="8" a="1"/>
  <c r="R184" i="8"/>
  <c r="R185" i="8" a="1"/>
  <c r="R185" i="8" s="1"/>
  <c r="R186" i="8" a="1"/>
  <c r="R186" i="8"/>
  <c r="R187" i="8" a="1"/>
  <c r="R187" i="8"/>
  <c r="R188" i="8" a="1"/>
  <c r="R188" i="8"/>
  <c r="R189" i="8" a="1"/>
  <c r="R189" i="8" s="1"/>
  <c r="R190" i="8" a="1"/>
  <c r="R190" i="8" s="1"/>
  <c r="R191" i="8" a="1"/>
  <c r="R191" i="8" s="1"/>
  <c r="R192" i="8" a="1"/>
  <c r="R192" i="8" s="1"/>
  <c r="R193" i="8" a="1"/>
  <c r="R193" i="8" s="1"/>
  <c r="R194" i="8" a="1"/>
  <c r="R194" i="8"/>
  <c r="R195" i="8" a="1"/>
  <c r="R195" i="8"/>
  <c r="R196" i="8" a="1"/>
  <c r="R196" i="8"/>
  <c r="R197" i="8" a="1"/>
  <c r="R197" i="8" s="1"/>
  <c r="R198" i="8" a="1"/>
  <c r="R198" i="8"/>
  <c r="R199" i="8" a="1"/>
  <c r="R199" i="8" s="1"/>
  <c r="R200" i="8" a="1"/>
  <c r="R200" i="8" s="1"/>
  <c r="R201" i="8" a="1"/>
  <c r="R201" i="8" s="1"/>
  <c r="R202" i="8" a="1"/>
  <c r="R202" i="8" s="1"/>
  <c r="R203" i="8" a="1"/>
  <c r="R203" i="8"/>
  <c r="R204" i="8" a="1"/>
  <c r="R204" i="8" s="1"/>
  <c r="R205" i="8" a="1"/>
  <c r="R205" i="8" s="1"/>
  <c r="R206" i="8" a="1"/>
  <c r="R206" i="8" s="1"/>
  <c r="R207" i="8" a="1"/>
  <c r="R207" i="8"/>
  <c r="R208" i="8" a="1"/>
  <c r="R208" i="8" s="1"/>
  <c r="R209" i="8" a="1"/>
  <c r="R209" i="8" s="1"/>
  <c r="R210" i="8" a="1"/>
  <c r="R210" i="8"/>
  <c r="R211" i="8" a="1"/>
  <c r="R211" i="8"/>
  <c r="R212" i="8" a="1"/>
  <c r="R212" i="8"/>
  <c r="R213" i="8" a="1"/>
  <c r="R213" i="8" s="1"/>
  <c r="R214" i="8" a="1"/>
  <c r="R214" i="8" s="1"/>
  <c r="R215" i="8" a="1"/>
  <c r="R215" i="8" s="1"/>
  <c r="R216" i="8" a="1"/>
  <c r="R216" i="8"/>
  <c r="R217" i="8" a="1"/>
  <c r="R217" i="8" s="1"/>
  <c r="R218" i="8" a="1"/>
  <c r="R218" i="8"/>
  <c r="R219" i="8" a="1"/>
  <c r="R219" i="8"/>
  <c r="R220" i="8" a="1"/>
  <c r="R220" i="8" s="1"/>
  <c r="R221" i="8" a="1"/>
  <c r="R221" i="8" s="1"/>
  <c r="R222" i="8" a="1"/>
  <c r="R222" i="8" s="1"/>
  <c r="R223" i="8" a="1"/>
  <c r="R223" i="8" s="1"/>
  <c r="R224" i="8" a="1"/>
  <c r="R224" i="8" s="1"/>
  <c r="R225" i="8" a="1"/>
  <c r="R225" i="8" s="1"/>
  <c r="R226" i="8" a="1"/>
  <c r="R226" i="8"/>
  <c r="R227" i="8" a="1"/>
  <c r="R227" i="8" s="1"/>
  <c r="R228" i="8" a="1"/>
  <c r="R228" i="8"/>
  <c r="R229" i="8" a="1"/>
  <c r="R229" i="8" s="1"/>
  <c r="R230" i="8" a="1"/>
  <c r="R230" i="8"/>
  <c r="R231" i="8" a="1"/>
  <c r="R231" i="8" s="1"/>
  <c r="R232" i="8" a="1"/>
  <c r="R232" i="8" s="1"/>
  <c r="R233" i="8" a="1"/>
  <c r="R233" i="8" s="1"/>
  <c r="R234" i="8" a="1"/>
  <c r="R234" i="8" s="1"/>
  <c r="R235" i="8" a="1"/>
  <c r="R235" i="8"/>
  <c r="R236" i="8" a="1"/>
  <c r="R236" i="8" s="1"/>
  <c r="R237" i="8" a="1"/>
  <c r="R237" i="8" s="1"/>
  <c r="R238" i="8" a="1"/>
  <c r="R238" i="8" s="1"/>
  <c r="R239" i="8" a="1"/>
  <c r="R239" i="8"/>
  <c r="R240" i="8" a="1"/>
  <c r="R240" i="8" s="1"/>
  <c r="R241" i="8" a="1"/>
  <c r="R241" i="8" s="1"/>
  <c r="R242" i="8" a="1"/>
  <c r="R242" i="8"/>
  <c r="R243" i="8" a="1"/>
  <c r="R243" i="8" s="1"/>
  <c r="R244" i="8" a="1"/>
  <c r="R244" i="8"/>
  <c r="R245" i="8" a="1"/>
  <c r="R245" i="8" s="1"/>
  <c r="R246" i="8" a="1"/>
  <c r="R246" i="8" s="1"/>
  <c r="R247" i="8" a="1"/>
  <c r="R247" i="8" s="1"/>
  <c r="R248" i="8" a="1"/>
  <c r="R248" i="8"/>
  <c r="R249" i="8" a="1"/>
  <c r="R249" i="8" s="1"/>
  <c r="R250" i="8" a="1"/>
  <c r="R250" i="8" s="1"/>
  <c r="R251" i="8" a="1"/>
  <c r="R251" i="8"/>
  <c r="R252" i="8" a="1"/>
  <c r="R252" i="8" s="1"/>
  <c r="R253" i="8" a="1"/>
  <c r="R253" i="8" s="1"/>
  <c r="R254" i="8" a="1"/>
  <c r="R254" i="8" s="1"/>
  <c r="R255" i="8" a="1"/>
  <c r="R255" i="8" s="1"/>
  <c r="R256" i="8" a="1"/>
  <c r="R256" i="8" s="1"/>
  <c r="R257" i="8" a="1"/>
  <c r="R257" i="8" s="1"/>
  <c r="R258" i="8" a="1"/>
  <c r="R258" i="8"/>
  <c r="R259" i="8" a="1"/>
  <c r="R259" i="8" s="1"/>
  <c r="R260" i="8" a="1"/>
  <c r="R260" i="8"/>
  <c r="R261" i="8" a="1"/>
  <c r="R261" i="8" s="1"/>
  <c r="R262" i="8" a="1"/>
  <c r="R262" i="8"/>
  <c r="R263" i="8" a="1"/>
  <c r="R263" i="8" s="1"/>
  <c r="R264" i="8" a="1"/>
  <c r="R264" i="8" s="1"/>
  <c r="R265" i="8" a="1"/>
  <c r="R265" i="8" s="1"/>
  <c r="R266" i="8" a="1"/>
  <c r="R266" i="8" s="1"/>
  <c r="R267" i="8" a="1"/>
  <c r="R267" i="8"/>
  <c r="R268" i="8" a="1"/>
  <c r="R268" i="8" s="1"/>
  <c r="R269" i="8" a="1"/>
  <c r="R269" i="8" s="1"/>
  <c r="R270" i="8" a="1"/>
  <c r="R270" i="8" s="1"/>
  <c r="R271" i="8" a="1"/>
  <c r="R271" i="8"/>
  <c r="R272" i="8" a="1"/>
  <c r="R272" i="8" s="1"/>
  <c r="R273" i="8" a="1"/>
  <c r="R273" i="8" s="1"/>
  <c r="R274" i="8" a="1"/>
  <c r="R274" i="8"/>
  <c r="R275" i="8" a="1"/>
  <c r="R275" i="8" s="1"/>
  <c r="R276" i="8" a="1"/>
  <c r="R276" i="8"/>
  <c r="R277" i="8" a="1"/>
  <c r="R277" i="8" s="1"/>
  <c r="R278" i="8" a="1"/>
  <c r="R278" i="8" s="1"/>
  <c r="R279" i="8" a="1"/>
  <c r="R279" i="8" s="1"/>
  <c r="R280" i="8" a="1"/>
  <c r="R280" i="8"/>
  <c r="R281" i="8" a="1"/>
  <c r="R281" i="8" s="1"/>
  <c r="R282" i="8" a="1"/>
  <c r="R282" i="8" s="1"/>
  <c r="R283" i="8" a="1"/>
  <c r="R283" i="8"/>
  <c r="R284" i="8" a="1"/>
  <c r="R284" i="8" s="1"/>
  <c r="R285" i="8" a="1"/>
  <c r="R285" i="8" s="1"/>
  <c r="R286" i="8" a="1"/>
  <c r="R286" i="8" s="1"/>
  <c r="R287" i="8" a="1"/>
  <c r="R287" i="8" s="1"/>
  <c r="R288" i="8" a="1"/>
  <c r="R288" i="8" s="1"/>
  <c r="R289" i="8" a="1"/>
  <c r="R289" i="8" s="1"/>
  <c r="R290" i="8" a="1"/>
  <c r="R290" i="8"/>
  <c r="R291" i="8" a="1"/>
  <c r="R291" i="8" s="1"/>
  <c r="R292" i="8" a="1"/>
  <c r="R292" i="8"/>
  <c r="R293" i="8" a="1"/>
  <c r="R293" i="8" s="1"/>
  <c r="R294" i="8" a="1"/>
  <c r="R294" i="8"/>
  <c r="R295" i="8" a="1"/>
  <c r="R295" i="8" s="1"/>
  <c r="R296" i="8" a="1"/>
  <c r="R296" i="8" s="1"/>
  <c r="R297" i="8" a="1"/>
  <c r="R297" i="8" s="1"/>
  <c r="R298" i="8" a="1"/>
  <c r="R298" i="8" s="1"/>
  <c r="R299" i="8" a="1"/>
  <c r="R299" i="8"/>
  <c r="R300" i="8" a="1"/>
  <c r="R300" i="8" s="1"/>
  <c r="R301" i="8" a="1"/>
  <c r="R301" i="8" s="1"/>
  <c r="R302" i="8" a="1"/>
  <c r="R302" i="8" s="1"/>
  <c r="R303" i="8" a="1"/>
  <c r="R303" i="8"/>
  <c r="R304" i="8" a="1"/>
  <c r="R304" i="8" s="1"/>
  <c r="R305" i="8" a="1"/>
  <c r="R305" i="8" s="1"/>
  <c r="R306" i="8" a="1"/>
  <c r="R306" i="8"/>
  <c r="R307" i="8" a="1"/>
  <c r="R307" i="8" s="1"/>
  <c r="R308" i="8" a="1"/>
  <c r="R308" i="8"/>
  <c r="R309" i="8" a="1"/>
  <c r="R309" i="8" s="1"/>
  <c r="R310" i="8" a="1"/>
  <c r="R310" i="8" s="1"/>
  <c r="R311" i="8" a="1"/>
  <c r="R311" i="8" s="1"/>
  <c r="R312" i="8" a="1"/>
  <c r="R312" i="8"/>
  <c r="R313" i="8" a="1"/>
  <c r="R313" i="8" s="1"/>
  <c r="R314" i="8" a="1"/>
  <c r="R314" i="8" s="1"/>
  <c r="R315" i="8" a="1"/>
  <c r="R315" i="8"/>
  <c r="R316" i="8" a="1"/>
  <c r="R316" i="8" s="1"/>
  <c r="R317" i="8" a="1"/>
  <c r="R317" i="8" s="1"/>
  <c r="R318" i="8" a="1"/>
  <c r="R318" i="8" s="1"/>
  <c r="R319" i="8" a="1"/>
  <c r="R319" i="8" s="1"/>
  <c r="R320" i="8" a="1"/>
  <c r="R320" i="8" s="1"/>
  <c r="R321" i="8" a="1"/>
  <c r="R321" i="8" s="1"/>
  <c r="R322" i="8" a="1"/>
  <c r="R322" i="8"/>
  <c r="R323" i="8" a="1"/>
  <c r="R323" i="8" s="1"/>
  <c r="R324" i="8" a="1"/>
  <c r="R324" i="8"/>
  <c r="R325" i="8" a="1"/>
  <c r="R325" i="8" s="1"/>
  <c r="R326" i="8" a="1"/>
  <c r="R326" i="8"/>
  <c r="R327" i="8" a="1"/>
  <c r="R327" i="8" s="1"/>
  <c r="R328" i="8" a="1"/>
  <c r="R328" i="8" s="1"/>
  <c r="R329" i="8" a="1"/>
  <c r="R329" i="8" s="1"/>
  <c r="R330" i="8" a="1"/>
  <c r="R330" i="8" s="1"/>
  <c r="R331" i="8" a="1"/>
  <c r="R331" i="8"/>
  <c r="R332" i="8" a="1"/>
  <c r="R332" i="8" s="1"/>
  <c r="R333" i="8" a="1"/>
  <c r="R333" i="8" s="1"/>
  <c r="R334" i="8" a="1"/>
  <c r="R334" i="8" s="1"/>
  <c r="R335" i="8" a="1"/>
  <c r="R335" i="8"/>
  <c r="R336" i="8" a="1"/>
  <c r="R336" i="8" s="1"/>
  <c r="R337" i="8" a="1"/>
  <c r="R337" i="8" s="1"/>
  <c r="R338" i="8" a="1"/>
  <c r="R338" i="8"/>
  <c r="R339" i="8" a="1"/>
  <c r="R339" i="8" s="1"/>
  <c r="R340" i="8" a="1"/>
  <c r="R340" i="8"/>
  <c r="R341" i="8" a="1"/>
  <c r="R341" i="8" s="1"/>
  <c r="R342" i="8" a="1"/>
  <c r="R342" i="8" s="1"/>
  <c r="R343" i="8" a="1"/>
  <c r="R343" i="8" s="1"/>
  <c r="R344" i="8" a="1"/>
  <c r="R344" i="8"/>
  <c r="R345" i="8" a="1"/>
  <c r="R345" i="8" s="1"/>
  <c r="R346" i="8" a="1"/>
  <c r="R346" i="8" s="1"/>
  <c r="R347" i="8" a="1"/>
  <c r="R347" i="8" s="1"/>
  <c r="R348" i="8" a="1"/>
  <c r="R348" i="8"/>
  <c r="R349" i="8" a="1"/>
  <c r="R349" i="8" s="1"/>
  <c r="R350" i="8" a="1"/>
  <c r="R350" i="8" s="1"/>
  <c r="R351" i="8" a="1"/>
  <c r="R351" i="8" s="1"/>
  <c r="R352" i="8" a="1"/>
  <c r="R352" i="8"/>
  <c r="R353" i="8" a="1"/>
  <c r="R353" i="8" s="1"/>
  <c r="R354" i="8" a="1"/>
  <c r="R354" i="8" s="1"/>
  <c r="R355" i="8" a="1"/>
  <c r="R355" i="8" s="1"/>
  <c r="R356" i="8" a="1"/>
  <c r="R356" i="8"/>
  <c r="R357" i="8" a="1"/>
  <c r="R357" i="8" s="1"/>
  <c r="R358" i="8" a="1"/>
  <c r="R358" i="8" s="1"/>
  <c r="R359" i="8" a="1"/>
  <c r="R359" i="8" s="1"/>
  <c r="R360" i="8" a="1"/>
  <c r="R360" i="8"/>
  <c r="R361" i="8" a="1"/>
  <c r="R361" i="8" s="1"/>
  <c r="R362" i="8" a="1"/>
  <c r="R362" i="8" s="1"/>
  <c r="R363" i="8" a="1"/>
  <c r="R363" i="8" s="1"/>
  <c r="R364" i="8" a="1"/>
  <c r="R364" i="8"/>
  <c r="R365" i="8" a="1"/>
  <c r="R365" i="8" s="1"/>
  <c r="R366" i="8" a="1"/>
  <c r="R366" i="8" s="1"/>
  <c r="R367" i="8" a="1"/>
  <c r="R367" i="8" s="1"/>
  <c r="R368" i="8" a="1"/>
  <c r="R368" i="8"/>
  <c r="R369" i="8" a="1"/>
  <c r="R369" i="8" s="1"/>
  <c r="R370" i="8" a="1"/>
  <c r="R370" i="8" s="1"/>
  <c r="R371" i="8" a="1"/>
  <c r="R371" i="8" s="1"/>
  <c r="R372" i="8" a="1"/>
  <c r="R372" i="8"/>
  <c r="R373" i="8" a="1"/>
  <c r="R373" i="8" s="1"/>
  <c r="R374" i="8" a="1"/>
  <c r="R374" i="8" s="1"/>
  <c r="R375" i="8" a="1"/>
  <c r="R375" i="8" s="1"/>
  <c r="R376" i="8" a="1"/>
  <c r="R376" i="8"/>
  <c r="R377" i="8" a="1"/>
  <c r="R377" i="8" s="1"/>
  <c r="R378" i="8" a="1"/>
  <c r="R378" i="8" s="1"/>
  <c r="R379" i="8" a="1"/>
  <c r="R379" i="8" s="1"/>
  <c r="R380" i="8" a="1"/>
  <c r="R380" i="8"/>
  <c r="R381" i="8" a="1"/>
  <c r="R381" i="8" s="1"/>
  <c r="R382" i="8" a="1"/>
  <c r="R382" i="8" s="1"/>
  <c r="R383" i="8" a="1"/>
  <c r="R383" i="8" s="1"/>
  <c r="R384" i="8" a="1"/>
  <c r="R384" i="8"/>
  <c r="R385" i="8" a="1"/>
  <c r="R385" i="8" s="1"/>
  <c r="R386" i="8" a="1"/>
  <c r="R386" i="8" s="1"/>
  <c r="R387" i="8" a="1"/>
  <c r="R387" i="8" s="1"/>
  <c r="R388" i="8" a="1"/>
  <c r="R388" i="8"/>
  <c r="R389" i="8" a="1"/>
  <c r="R389" i="8" s="1"/>
  <c r="R390" i="8" a="1"/>
  <c r="R390" i="8" s="1"/>
  <c r="R391" i="8" a="1"/>
  <c r="R391" i="8" s="1"/>
  <c r="R392" i="8" a="1"/>
  <c r="R392" i="8"/>
  <c r="R393" i="8" a="1"/>
  <c r="R393" i="8" s="1"/>
  <c r="R394" i="8" a="1"/>
  <c r="R394" i="8" s="1"/>
  <c r="R395" i="8" a="1"/>
  <c r="R395" i="8" s="1"/>
  <c r="R396" i="8" a="1"/>
  <c r="R396" i="8"/>
  <c r="R397" i="8" a="1"/>
  <c r="R397" i="8" s="1"/>
  <c r="R398" i="8" a="1"/>
  <c r="R398" i="8" s="1"/>
  <c r="R399" i="8" a="1"/>
  <c r="R399" i="8" s="1"/>
  <c r="R400" i="8" a="1"/>
  <c r="R400" i="8"/>
  <c r="R401" i="8" a="1"/>
  <c r="R401" i="8" s="1"/>
  <c r="R402" i="8" a="1"/>
  <c r="R402" i="8" s="1"/>
  <c r="R403" i="8" a="1"/>
  <c r="R403" i="8" s="1"/>
  <c r="R404" i="8" a="1"/>
  <c r="R404" i="8"/>
  <c r="R405" i="8" a="1"/>
  <c r="R405" i="8" s="1"/>
  <c r="R406" i="8" a="1"/>
  <c r="R406" i="8" s="1"/>
  <c r="R407" i="8" a="1"/>
  <c r="R407" i="8" s="1"/>
  <c r="R408" i="8" a="1"/>
  <c r="R408" i="8"/>
  <c r="R409" i="8" a="1"/>
  <c r="R409" i="8" s="1"/>
  <c r="R410" i="8" a="1"/>
  <c r="R410" i="8" s="1"/>
  <c r="R411" i="8" a="1"/>
  <c r="R411" i="8" s="1"/>
  <c r="R412" i="8" a="1"/>
  <c r="R412" i="8"/>
  <c r="R413" i="8" a="1"/>
  <c r="R413" i="8" s="1"/>
  <c r="R414" i="8" a="1"/>
  <c r="R414" i="8" s="1"/>
  <c r="R415" i="8" a="1"/>
  <c r="R415" i="8" s="1"/>
  <c r="R416" i="8" a="1"/>
  <c r="R416" i="8"/>
  <c r="R417" i="8" a="1"/>
  <c r="R417" i="8" s="1"/>
  <c r="R418" i="8" a="1"/>
  <c r="R418" i="8" s="1"/>
  <c r="R419" i="8" a="1"/>
  <c r="R419" i="8" s="1"/>
  <c r="R420" i="8" a="1"/>
  <c r="R420" i="8"/>
  <c r="R421" i="8" a="1"/>
  <c r="R421" i="8" s="1"/>
  <c r="R422" i="8" a="1"/>
  <c r="R422" i="8" s="1"/>
  <c r="R423" i="8" a="1"/>
  <c r="R423" i="8" s="1"/>
  <c r="R424" i="8" a="1"/>
  <c r="R424" i="8"/>
  <c r="R425" i="8" a="1"/>
  <c r="R425" i="8" s="1"/>
  <c r="R426" i="8" a="1"/>
  <c r="R426" i="8" s="1"/>
  <c r="R427" i="8" a="1"/>
  <c r="R427" i="8" s="1"/>
  <c r="R428" i="8" a="1"/>
  <c r="R428" i="8"/>
  <c r="R429" i="8" a="1"/>
  <c r="R429" i="8" s="1"/>
  <c r="R430" i="8" a="1"/>
  <c r="R430" i="8" s="1"/>
  <c r="R431" i="8" a="1"/>
  <c r="R431" i="8" s="1"/>
  <c r="R432" i="8" a="1"/>
  <c r="R432" i="8"/>
  <c r="R433" i="8" a="1"/>
  <c r="R433" i="8" s="1"/>
  <c r="R434" i="8" a="1"/>
  <c r="R434" i="8" s="1"/>
  <c r="R435" i="8" a="1"/>
  <c r="R435" i="8" s="1"/>
  <c r="R436" i="8" a="1"/>
  <c r="R436" i="8"/>
  <c r="R437" i="8" a="1"/>
  <c r="R437" i="8" s="1"/>
  <c r="R438" i="8" a="1"/>
  <c r="R438" i="8" s="1"/>
  <c r="R439" i="8" a="1"/>
  <c r="R439" i="8" s="1"/>
  <c r="R440" i="8" a="1"/>
  <c r="R440" i="8"/>
  <c r="R441" i="8" a="1"/>
  <c r="R441" i="8" s="1"/>
  <c r="R442" i="8" a="1"/>
  <c r="R442" i="8" s="1"/>
  <c r="R443" i="8" a="1"/>
  <c r="R443" i="8" s="1"/>
  <c r="R444" i="8" a="1"/>
  <c r="R444" i="8"/>
  <c r="R445" i="8" a="1"/>
  <c r="R445" i="8" s="1"/>
  <c r="R446" i="8" a="1"/>
  <c r="R446" i="8" s="1"/>
  <c r="R447" i="8" a="1"/>
  <c r="R447" i="8" s="1"/>
  <c r="R448" i="8" a="1"/>
  <c r="R448" i="8"/>
  <c r="R449" i="8" a="1"/>
  <c r="R449" i="8" s="1"/>
  <c r="R450" i="8" a="1"/>
  <c r="R450" i="8" s="1"/>
  <c r="R451" i="8" a="1"/>
  <c r="R451" i="8" s="1"/>
  <c r="R452" i="8" a="1"/>
  <c r="R452" i="8"/>
  <c r="R453" i="8" a="1"/>
  <c r="R453" i="8" s="1"/>
  <c r="R454" i="8" a="1"/>
  <c r="R454" i="8" s="1"/>
  <c r="R455" i="8" a="1"/>
  <c r="R455" i="8" s="1"/>
  <c r="R456" i="8" a="1"/>
  <c r="R456" i="8"/>
  <c r="R457" i="8" a="1"/>
  <c r="R457" i="8" s="1"/>
  <c r="R458" i="8" a="1"/>
  <c r="R458" i="8" s="1"/>
  <c r="R459" i="8" a="1"/>
  <c r="R459" i="8" s="1"/>
  <c r="R460" i="8" a="1"/>
  <c r="R460" i="8"/>
  <c r="R461" i="8" a="1"/>
  <c r="R461" i="8" s="1"/>
  <c r="R462" i="8" a="1"/>
  <c r="R462" i="8" s="1"/>
  <c r="R463" i="8" a="1"/>
  <c r="R463" i="8" s="1"/>
  <c r="R464" i="8" a="1"/>
  <c r="R464" i="8"/>
  <c r="R465" i="8" a="1"/>
  <c r="R465" i="8" s="1"/>
  <c r="R466" i="8" a="1"/>
  <c r="R466" i="8" s="1"/>
  <c r="R467" i="8" a="1"/>
  <c r="R467" i="8" s="1"/>
  <c r="R468" i="8" a="1"/>
  <c r="R468" i="8"/>
  <c r="R469" i="8" a="1"/>
  <c r="R469" i="8" s="1"/>
  <c r="R470" i="8" a="1"/>
  <c r="R470" i="8" s="1"/>
  <c r="R471" i="8" a="1"/>
  <c r="R471" i="8" s="1"/>
  <c r="R472" i="8" a="1"/>
  <c r="R472" i="8"/>
  <c r="R473" i="8" a="1"/>
  <c r="R473" i="8" s="1"/>
  <c r="R474" i="8" a="1"/>
  <c r="R474" i="8" s="1"/>
  <c r="R475" i="8" a="1"/>
  <c r="R475" i="8" s="1"/>
  <c r="R476" i="8" a="1"/>
  <c r="R476" i="8"/>
  <c r="R477" i="8" a="1"/>
  <c r="R477" i="8" s="1"/>
  <c r="R478" i="8" a="1"/>
  <c r="R478" i="8" s="1"/>
  <c r="R479" i="8" a="1"/>
  <c r="R479" i="8" s="1"/>
  <c r="R480" i="8" a="1"/>
  <c r="R480" i="8"/>
  <c r="R481" i="8" a="1"/>
  <c r="R481" i="8" s="1"/>
  <c r="R482" i="8" a="1"/>
  <c r="R482" i="8" s="1"/>
  <c r="R483" i="8" a="1"/>
  <c r="R483" i="8" s="1"/>
  <c r="R484" i="8" a="1"/>
  <c r="R484" i="8"/>
  <c r="R485" i="8" a="1"/>
  <c r="R485" i="8" s="1"/>
  <c r="R486" i="8" a="1"/>
  <c r="R486" i="8" s="1"/>
  <c r="R487" i="8" a="1"/>
  <c r="R487" i="8" s="1"/>
  <c r="R488" i="8" a="1"/>
  <c r="R488" i="8"/>
  <c r="R489" i="8" a="1"/>
  <c r="R489" i="8" s="1"/>
  <c r="R490" i="8" a="1"/>
  <c r="R490" i="8" s="1"/>
  <c r="R491" i="8" a="1"/>
  <c r="R491" i="8" s="1"/>
  <c r="R492" i="8" a="1"/>
  <c r="R492" i="8"/>
  <c r="R493" i="8" a="1"/>
  <c r="R493" i="8" s="1"/>
  <c r="R494" i="8" a="1"/>
  <c r="R494" i="8" s="1"/>
  <c r="R495" i="8" a="1"/>
  <c r="R495" i="8" s="1"/>
  <c r="R496" i="8" a="1"/>
  <c r="R496" i="8"/>
  <c r="R497" i="8" a="1"/>
  <c r="R497" i="8" s="1"/>
  <c r="R2" i="8" a="1"/>
  <c r="R2" i="8" s="1"/>
  <c r="F5" i="15"/>
  <c r="G3" i="15"/>
  <c r="G2" i="15"/>
  <c r="H3" i="7"/>
  <c r="H4" i="7"/>
  <c r="H5" i="7"/>
  <c r="H6" i="7"/>
  <c r="H7" i="7"/>
  <c r="H8" i="7"/>
  <c r="H9" i="7"/>
  <c r="H2" i="7"/>
  <c r="H11" i="17" a="1"/>
  <c r="H11" i="17" s="1"/>
  <c r="A6" i="16" a="1"/>
  <c r="A6" i="16" s="1"/>
  <c r="A18" i="17" a="1"/>
  <c r="A18" i="17" s="1"/>
  <c r="A16" i="17" a="1"/>
  <c r="A16" i="17"/>
  <c r="A13" i="17" a="1"/>
  <c r="A13" i="17" s="1"/>
  <c r="A7" i="17" a="1"/>
  <c r="A7" i="17" s="1"/>
  <c r="J6" i="12" a="1"/>
  <c r="J6" i="12" s="1"/>
  <c r="F3" i="15"/>
  <c r="F2" i="15"/>
  <c r="E14" i="12" l="1"/>
  <c r="D14" i="12"/>
  <c r="C14" i="12"/>
  <c r="B14" i="12"/>
  <c r="F13" i="12"/>
  <c r="F12" i="12"/>
  <c r="F11" i="12"/>
  <c r="F10" i="12"/>
  <c r="F9" i="12"/>
  <c r="F8" i="12"/>
  <c r="F7" i="12"/>
  <c r="F6" i="12"/>
  <c r="F5" i="12"/>
  <c r="F4" i="12"/>
  <c r="F3" i="12"/>
  <c r="F2" i="12"/>
  <c r="F14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<sst xmlns="http://schemas.openxmlformats.org/spreadsheetml/2006/main" count="2521" uniqueCount="1391">
  <si>
    <t>Page, Lisa</t>
  </si>
  <si>
    <t>Booth, Ron</t>
  </si>
  <si>
    <t>Taylor, Hector</t>
  </si>
  <si>
    <t>Brennan, Tito</t>
  </si>
  <si>
    <t>Dawson, Jonathan</t>
  </si>
  <si>
    <t>Duran, Brian</t>
  </si>
  <si>
    <t>Carmichael, George</t>
  </si>
  <si>
    <t>Weber, Larry</t>
  </si>
  <si>
    <t>Christinelli, David</t>
  </si>
  <si>
    <t>Pratt, Erik</t>
  </si>
  <si>
    <t>Spencer, Boyd</t>
  </si>
  <si>
    <t>Wiggins, Frank</t>
  </si>
  <si>
    <t>Hendricks, Anne</t>
  </si>
  <si>
    <t>Tanner, Timothy</t>
  </si>
  <si>
    <t>Hewitt, Steven</t>
  </si>
  <si>
    <t>Strickland, Rajean</t>
  </si>
  <si>
    <t>Ikehara, Bud</t>
  </si>
  <si>
    <t>Chase, Troy</t>
  </si>
  <si>
    <t>Jacobson, Greg</t>
  </si>
  <si>
    <t>Brewer, Kent</t>
  </si>
  <si>
    <t>James, June</t>
  </si>
  <si>
    <t>Wilkins, Jesse</t>
  </si>
  <si>
    <t>Johnson, Claudia</t>
  </si>
  <si>
    <t>White, Daniel</t>
  </si>
  <si>
    <t>Julien, Susan</t>
  </si>
  <si>
    <t>Holland, Donald</t>
  </si>
  <si>
    <t>Rowe, Ken</t>
  </si>
  <si>
    <t>Kendrick, Bacardi</t>
  </si>
  <si>
    <t>Burton, Cam</t>
  </si>
  <si>
    <t>Kopfe, Siobhan</t>
  </si>
  <si>
    <t>Phillips, Liesl</t>
  </si>
  <si>
    <t>Gallagher, Johnson</t>
  </si>
  <si>
    <t>Malone, Carl</t>
  </si>
  <si>
    <t>Wolf, Debbie</t>
  </si>
  <si>
    <t>Mandel, Laura</t>
  </si>
  <si>
    <t>Todd, Steven</t>
  </si>
  <si>
    <t>Marshall, Traci</t>
  </si>
  <si>
    <t>McKenzie, Michelle</t>
  </si>
  <si>
    <t>Thornton, Charles</t>
  </si>
  <si>
    <t>Metzger, Sheila</t>
  </si>
  <si>
    <t>Dunn, Matthew</t>
  </si>
  <si>
    <t>Potter, Dawn</t>
  </si>
  <si>
    <t>Mills, Irene</t>
  </si>
  <si>
    <t>Carroll, Lesa</t>
  </si>
  <si>
    <t>Nicolaus, Gary</t>
  </si>
  <si>
    <t>Fleming, Irv</t>
  </si>
  <si>
    <t>Nguyen, Dennis</t>
  </si>
  <si>
    <t>Rodriguez, Michael</t>
  </si>
  <si>
    <t>Blair, Sperry</t>
  </si>
  <si>
    <t>Roys, Karen</t>
  </si>
  <si>
    <t>Wyatt, Kelly</t>
  </si>
  <si>
    <t>Walton, Benjamin</t>
  </si>
  <si>
    <t>Sebastian, Julie</t>
  </si>
  <si>
    <t>Sonnenberg, Diane</t>
  </si>
  <si>
    <t>Phelps, Gretchen</t>
  </si>
  <si>
    <t>Stenquist, Allen</t>
  </si>
  <si>
    <t>Bond, John</t>
  </si>
  <si>
    <t>Stephens, Vicky</t>
  </si>
  <si>
    <t>Chang, Gabriel</t>
  </si>
  <si>
    <t>Bullock, Greg</t>
  </si>
  <si>
    <t>Wheeler, Meegan</t>
  </si>
  <si>
    <t>Cunningham, Denise</t>
  </si>
  <si>
    <t>Simpson, Jimmy</t>
  </si>
  <si>
    <t>Griffith, Michelle</t>
  </si>
  <si>
    <t>Powers, Tia</t>
  </si>
  <si>
    <t>Navarro, Marc</t>
  </si>
  <si>
    <t>Briggs, Bryan</t>
  </si>
  <si>
    <t>Warren, Jean</t>
  </si>
  <si>
    <t>McDonald, Debra</t>
  </si>
  <si>
    <t>Pitts, Dana</t>
  </si>
  <si>
    <t>Pruitt, Randy</t>
  </si>
  <si>
    <t>Nicholson, Lee</t>
  </si>
  <si>
    <t>Matthews, Diane</t>
  </si>
  <si>
    <t>Norris, Tamara</t>
  </si>
  <si>
    <t>Weiss, Marisa</t>
  </si>
  <si>
    <t>Lawrence, Ronald</t>
  </si>
  <si>
    <t>Sherman, Karin</t>
  </si>
  <si>
    <t>Harmon, Paul</t>
  </si>
  <si>
    <t>Vance, Cheryl</t>
  </si>
  <si>
    <t>Swanson, Vicki</t>
  </si>
  <si>
    <t>Steele, Gerald</t>
  </si>
  <si>
    <t>Whitehead, Carolyn</t>
  </si>
  <si>
    <t>Flowers, Kathleen</t>
  </si>
  <si>
    <t>Huff, Erik</t>
  </si>
  <si>
    <t>Deleon, Jaquelyn</t>
  </si>
  <si>
    <t>Kent, Angus</t>
  </si>
  <si>
    <t>Nichols, Nathaniel</t>
  </si>
  <si>
    <t>Morgan, Patricia</t>
  </si>
  <si>
    <t>Harding, Erin</t>
  </si>
  <si>
    <t>Hood, Renee</t>
  </si>
  <si>
    <t>Hickman, John</t>
  </si>
  <si>
    <t>Schneider, Gay</t>
  </si>
  <si>
    <t>Stone, Brian</t>
  </si>
  <si>
    <t>Goodman, Kuyler</t>
  </si>
  <si>
    <t>Simmons, Robert</t>
  </si>
  <si>
    <t>Wolfe, Keith</t>
  </si>
  <si>
    <t>Conway, Brett</t>
  </si>
  <si>
    <t>Mendoza, Bobby</t>
  </si>
  <si>
    <t>James, Lynn</t>
  </si>
  <si>
    <t>Porter, Rachel</t>
  </si>
  <si>
    <t>Mullins, Angela</t>
  </si>
  <si>
    <t>Poole, Tracy</t>
  </si>
  <si>
    <t>Farrell, Laura</t>
  </si>
  <si>
    <t>Perry, Christopher</t>
  </si>
  <si>
    <t>Fletcher, Brian</t>
  </si>
  <si>
    <t>York, Steven</t>
  </si>
  <si>
    <t>Hudson, Lorna</t>
  </si>
  <si>
    <t>May, Steve</t>
  </si>
  <si>
    <t>Booker, Judith</t>
  </si>
  <si>
    <t>Dorsey, Matthew</t>
  </si>
  <si>
    <t>Gardner, Anthony</t>
  </si>
  <si>
    <t>Hammond, Robert</t>
  </si>
  <si>
    <t>Clayton, Gregory</t>
  </si>
  <si>
    <t>Martinez, Kathleen</t>
  </si>
  <si>
    <t>Becker, Gretchen</t>
  </si>
  <si>
    <t>Thompson, John</t>
  </si>
  <si>
    <t>Cortez, Jack</t>
  </si>
  <si>
    <t>Hardin, Gregory</t>
  </si>
  <si>
    <t>Pacheco, Therese</t>
  </si>
  <si>
    <t>Stokes, Jonathan</t>
  </si>
  <si>
    <t>Kerr, Mihaela</t>
  </si>
  <si>
    <t>Juarez, Neill</t>
  </si>
  <si>
    <t>Wade, Kevin</t>
  </si>
  <si>
    <t>Cohen, Bruce</t>
  </si>
  <si>
    <t>Norton, Bruce</t>
  </si>
  <si>
    <t>Gomez, Ed</t>
  </si>
  <si>
    <t>Carey, Andrea</t>
  </si>
  <si>
    <t>Kim, Deborah</t>
  </si>
  <si>
    <t>Foley, Peter</t>
  </si>
  <si>
    <t>Landry, Linda</t>
  </si>
  <si>
    <t>Hill, Robin</t>
  </si>
  <si>
    <t>Malone, Daniel</t>
  </si>
  <si>
    <t>Hawkins, Douglas</t>
  </si>
  <si>
    <t>Baker, Barney</t>
  </si>
  <si>
    <t>Allison, Timothy</t>
  </si>
  <si>
    <t>McCoy, Preston</t>
  </si>
  <si>
    <t>Maxwell, Jill</t>
  </si>
  <si>
    <t>Garner, Terry</t>
  </si>
  <si>
    <t>Durham, Troy</t>
  </si>
  <si>
    <t>Ray, ReAnnon</t>
  </si>
  <si>
    <t>Winters, Shaun</t>
  </si>
  <si>
    <t>Roberson, Eileen</t>
  </si>
  <si>
    <t>Perkins, Donald</t>
  </si>
  <si>
    <t>Copeland, Roger</t>
  </si>
  <si>
    <t>Silva, Stephen</t>
  </si>
  <si>
    <t>Lloyd, John</t>
  </si>
  <si>
    <t>Park, Timothy</t>
  </si>
  <si>
    <t>Molina, Michael</t>
  </si>
  <si>
    <t>McDowell, Scott</t>
  </si>
  <si>
    <t>Nixon, Randy</t>
  </si>
  <si>
    <t>Figueroa, Leonard</t>
  </si>
  <si>
    <t>Hutchinson, Robin</t>
  </si>
  <si>
    <t>Nelson, Shira</t>
  </si>
  <si>
    <t>Daniel, Robert</t>
  </si>
  <si>
    <t>Barnett, Brenda</t>
  </si>
  <si>
    <t>Gregory, Jon</t>
  </si>
  <si>
    <t>Ramos, Jan</t>
  </si>
  <si>
    <t>Calhoun, Dac Vinh</t>
  </si>
  <si>
    <t>Adams, David</t>
  </si>
  <si>
    <t>Bass, Justin</t>
  </si>
  <si>
    <t>Robertson, Nathan</t>
  </si>
  <si>
    <t>Young, Benjamin</t>
  </si>
  <si>
    <t>Nunez, Benning</t>
  </si>
  <si>
    <t>Shields, Robert</t>
  </si>
  <si>
    <t>Hardy, Svetlana</t>
  </si>
  <si>
    <t>Shaffer, Nobuko</t>
  </si>
  <si>
    <t>Hale, Deon</t>
  </si>
  <si>
    <t>Gates, Anne</t>
  </si>
  <si>
    <t>Lara, Mark</t>
  </si>
  <si>
    <t>Vazquez, Kenneth</t>
  </si>
  <si>
    <t>Lee, Charles</t>
  </si>
  <si>
    <t>Curtis, Patrick</t>
  </si>
  <si>
    <t>Gallegos, Rick</t>
  </si>
  <si>
    <t>Morse, Michael</t>
  </si>
  <si>
    <t>Gross, Davin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</si>
  <si>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</si>
  <si>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</si>
  <si>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</si>
  <si>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</si>
  <si>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</si>
  <si>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</si>
  <si>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</si>
  <si>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</si>
  <si>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</si>
  <si>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</si>
  <si>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</si>
  <si>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</si>
  <si>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</si>
  <si>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</si>
  <si>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</si>
  <si>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</si>
  <si>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</si>
  <si>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</si>
  <si>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</si>
  <si>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</si>
  <si>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</si>
  <si>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</si>
  <si>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</si>
  <si>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</si>
  <si>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</si>
  <si>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</si>
  <si>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Castro, Christopher</t>
  </si>
  <si>
    <t>Pierce, Karen</t>
  </si>
  <si>
    <t>Small, Athanasios</t>
  </si>
  <si>
    <t>Logan, Karen</t>
  </si>
  <si>
    <t>Tate, Zachary</t>
  </si>
  <si>
    <t>Baxter, Teresa</t>
  </si>
  <si>
    <t>Mercado, David</t>
  </si>
  <si>
    <t>Patel, Donald</t>
  </si>
  <si>
    <t>Rodriguez, Scott</t>
  </si>
  <si>
    <t>Conley, Mark</t>
  </si>
  <si>
    <t>Vincent, Guy</t>
  </si>
  <si>
    <t>Dixon, Richard</t>
  </si>
  <si>
    <t>Schultz, Norman</t>
  </si>
  <si>
    <t>Cox, Stephanie</t>
  </si>
  <si>
    <t>Conner, Mark</t>
  </si>
  <si>
    <t>Rojas, Charles</t>
  </si>
  <si>
    <t>McCall, Keith</t>
  </si>
  <si>
    <t>Burns, Fiona</t>
  </si>
  <si>
    <t>Herman, Henrietta</t>
  </si>
  <si>
    <t>Meyers, David</t>
  </si>
  <si>
    <t>Walker, Mike</t>
  </si>
  <si>
    <t>Butler, Roy</t>
  </si>
  <si>
    <t>Carrillo, Robert</t>
  </si>
  <si>
    <t>Bridges, Jeff</t>
  </si>
  <si>
    <t>Berry, Jacklyn</t>
  </si>
  <si>
    <t>Frazier, Chris</t>
  </si>
  <si>
    <t>Rice, Diane</t>
  </si>
  <si>
    <t>Sharp, Janine</t>
  </si>
  <si>
    <t>Boyer, John</t>
  </si>
  <si>
    <t>Allen, Thomas</t>
  </si>
  <si>
    <t>Cole, Elbert</t>
  </si>
  <si>
    <t>Boyd, Debra</t>
  </si>
  <si>
    <t>Larson, David</t>
  </si>
  <si>
    <t>Roth, Tony</t>
  </si>
  <si>
    <t>Stewart, Elizabeth</t>
  </si>
  <si>
    <t>Robinson, John</t>
  </si>
  <si>
    <t>Gibbs, Debra</t>
  </si>
  <si>
    <t>Greene, Alexander</t>
  </si>
  <si>
    <t>Fuller, Brenda</t>
  </si>
  <si>
    <t>Callahan, Marilyn</t>
  </si>
  <si>
    <t>McConnell, Justin</t>
  </si>
  <si>
    <t>Smith, Koleen</t>
  </si>
  <si>
    <t>Herring, Joanna</t>
  </si>
  <si>
    <t>Fernandez, Marie</t>
  </si>
  <si>
    <t>Houston, Mark</t>
  </si>
  <si>
    <t>Francis, Todd</t>
  </si>
  <si>
    <t>Wright, Brad</t>
  </si>
  <si>
    <t>Sexton, John</t>
  </si>
  <si>
    <t>Dickerson, Lincoln</t>
  </si>
  <si>
    <t>Harris, Brian</t>
  </si>
  <si>
    <t>Hobbs, Scott</t>
  </si>
  <si>
    <t>Merritt, Kevin</t>
  </si>
  <si>
    <t>Perez, Kim</t>
  </si>
  <si>
    <t>Eaton, Cris</t>
  </si>
  <si>
    <t>Brady, Traci</t>
  </si>
  <si>
    <t>Joseph, Christopher</t>
  </si>
  <si>
    <t>Golden, Christine</t>
  </si>
  <si>
    <t>Shelton, Donna</t>
  </si>
  <si>
    <t>Powell, Juli</t>
  </si>
  <si>
    <t>McBride, Grazyna</t>
  </si>
  <si>
    <t>Fields, Cathy</t>
  </si>
  <si>
    <t>Burgess, Cherie</t>
  </si>
  <si>
    <t>Melton, Scott</t>
  </si>
  <si>
    <t>Pittman, Bacardi</t>
  </si>
  <si>
    <t>Hurst, Thomas</t>
  </si>
  <si>
    <t>Colon, Donnie</t>
  </si>
  <si>
    <t>English, David</t>
  </si>
  <si>
    <t>Combs, Rick</t>
  </si>
  <si>
    <t>Osborne, Bill</t>
  </si>
  <si>
    <t>Sanders, Troy</t>
  </si>
  <si>
    <t>Bradford, Raymond</t>
  </si>
  <si>
    <t>Sullivan, Robert</t>
  </si>
  <si>
    <t>Barber, Robbie</t>
  </si>
  <si>
    <t>Humphrey, Andrew</t>
  </si>
  <si>
    <t>Browning, Kathleen</t>
  </si>
  <si>
    <t>Whitaker, Jessica</t>
  </si>
  <si>
    <t>Bates, Verna</t>
  </si>
  <si>
    <t>Little, Steve</t>
  </si>
  <si>
    <t>Velasquez, Clint</t>
  </si>
  <si>
    <t>Ryan, Ryan</t>
  </si>
  <si>
    <t>House, Paul</t>
  </si>
  <si>
    <t>Petersen, Timothy</t>
  </si>
  <si>
    <t>Hampton, Catherine</t>
  </si>
  <si>
    <t>Miller, Jessica</t>
  </si>
  <si>
    <t>McKee, Michelle</t>
  </si>
  <si>
    <t>Barron, Michael</t>
  </si>
  <si>
    <t>Summers, Harold</t>
  </si>
  <si>
    <t>Atkins, Kevin</t>
  </si>
  <si>
    <t>Chambers, Richard</t>
  </si>
  <si>
    <t>Jacobs, Florianne</t>
  </si>
  <si>
    <t>Wilkinson, Gregory</t>
  </si>
  <si>
    <t>Pearson, Cassy</t>
  </si>
  <si>
    <t>Huffman, Ignacio</t>
  </si>
  <si>
    <t>Marshall, Anita</t>
  </si>
  <si>
    <t>Clay, William</t>
  </si>
  <si>
    <t>Collins, Michael</t>
  </si>
  <si>
    <t>Elliott, Anthony</t>
  </si>
  <si>
    <t>Mitchell, Shannon</t>
  </si>
  <si>
    <t>Stafford, Rhonda</t>
  </si>
  <si>
    <t>Parker, Carl</t>
  </si>
  <si>
    <t>Kemp, Holly</t>
  </si>
  <si>
    <t>Richards, Richard</t>
  </si>
  <si>
    <t>Mendez, Max</t>
  </si>
  <si>
    <t>Brock, Ensley</t>
  </si>
  <si>
    <t>Sloan, Cindy</t>
  </si>
  <si>
    <t>Washington, Phillip</t>
  </si>
  <si>
    <t>Pena, Erik</t>
  </si>
  <si>
    <t>Finley, James</t>
  </si>
  <si>
    <t>Payne, Vicky</t>
  </si>
  <si>
    <t>Snow, Desiree</t>
  </si>
  <si>
    <t>Weaver, Eric</t>
  </si>
  <si>
    <t>Drake, Kyle</t>
  </si>
  <si>
    <t>Bradley, David</t>
  </si>
  <si>
    <t>Trujillo, Shawn</t>
  </si>
  <si>
    <t>Bell, David</t>
  </si>
  <si>
    <t>Lyons, Brian</t>
  </si>
  <si>
    <t>Ayers, Douglas</t>
  </si>
  <si>
    <t>Peters, Robert</t>
  </si>
  <si>
    <t>Benson, Troy</t>
  </si>
  <si>
    <t>McGuire, Rebecca</t>
  </si>
  <si>
    <t>Price, Diana</t>
  </si>
  <si>
    <t>Decker, Amy</t>
  </si>
  <si>
    <t>McLaughlin, Edward</t>
  </si>
  <si>
    <t>Diaz, David</t>
  </si>
  <si>
    <t>Davidson, Jaime</t>
  </si>
  <si>
    <t>Manning, John</t>
  </si>
  <si>
    <t>Harrison, Jonathan</t>
  </si>
  <si>
    <t>Moss, Chan</t>
  </si>
  <si>
    <t>Watson, Christian</t>
  </si>
  <si>
    <t>Coleman, Roque</t>
  </si>
  <si>
    <t>Patrick, Wendy</t>
  </si>
  <si>
    <t>Parrish, Debra</t>
  </si>
  <si>
    <t>Carson, Anthony</t>
  </si>
  <si>
    <t>Heath, Deborah</t>
  </si>
  <si>
    <t>Day, David</t>
  </si>
  <si>
    <t>Dominguez, Duane</t>
  </si>
  <si>
    <t>Flores, Angela</t>
  </si>
  <si>
    <t>Richard, Karen</t>
  </si>
  <si>
    <t>Nash, Mark</t>
  </si>
  <si>
    <t>Camacho, Stephanie</t>
  </si>
  <si>
    <t>Glover, Eugene</t>
  </si>
  <si>
    <t>Meyer, Charles</t>
  </si>
  <si>
    <t>Haynes, Ernest</t>
  </si>
  <si>
    <t>Rhodes, Brenda</t>
  </si>
  <si>
    <t>Hanson, Dennis</t>
  </si>
  <si>
    <t>Wood, Larry</t>
  </si>
  <si>
    <t>Savage, John</t>
  </si>
  <si>
    <t>Carr, Susan</t>
  </si>
  <si>
    <t>Alexander, Charles</t>
  </si>
  <si>
    <t>Hernandez, Glenn</t>
  </si>
  <si>
    <t>Roberts, Jackie</t>
  </si>
  <si>
    <t>Trevino, Gary</t>
  </si>
  <si>
    <t>Bishop, Juan</t>
  </si>
  <si>
    <t>Brooks, Richard</t>
  </si>
  <si>
    <t>Howard, Lisa</t>
  </si>
  <si>
    <t>Marquez, Thomas</t>
  </si>
  <si>
    <t>Reyes, Mary</t>
  </si>
  <si>
    <t>Reynolds, Barbara</t>
  </si>
  <si>
    <t>Lambert, Jody</t>
  </si>
  <si>
    <t>Leach, Jingwen</t>
  </si>
  <si>
    <t>Holmes, Tito</t>
  </si>
  <si>
    <t>Gill, Douglas</t>
  </si>
  <si>
    <t>Koch, Danielle</t>
  </si>
  <si>
    <t>Stephens, Bonnie</t>
  </si>
  <si>
    <t>Patton, Corey</t>
  </si>
  <si>
    <t>Chavez, Thomas</t>
  </si>
  <si>
    <t>Hull, Jeanne</t>
  </si>
  <si>
    <t>Hogan, Daniel</t>
  </si>
  <si>
    <t>Prince, Robert</t>
  </si>
  <si>
    <t>Randall, Yvonne</t>
  </si>
  <si>
    <t>Reed, Larry</t>
  </si>
  <si>
    <t>Love, Danny</t>
  </si>
  <si>
    <t>Campbell, Michael</t>
  </si>
  <si>
    <t>Valdez, Ann</t>
  </si>
  <si>
    <t>Hamilton, Theo</t>
  </si>
  <si>
    <t>Buckel, Patricia</t>
  </si>
  <si>
    <t>Fischer, David</t>
  </si>
  <si>
    <t>Spears, Melanie</t>
  </si>
  <si>
    <t>McLean, Richard</t>
  </si>
  <si>
    <t>Everett, Dan</t>
  </si>
  <si>
    <t>Robles, Charles</t>
  </si>
  <si>
    <t>Ingram, Matt</t>
  </si>
  <si>
    <t>Ross, Janice</t>
  </si>
  <si>
    <t>Lowery, Charles</t>
  </si>
  <si>
    <t>Gonzales, David</t>
  </si>
  <si>
    <t>Blevins, Carey</t>
  </si>
  <si>
    <t>Jones, John</t>
  </si>
  <si>
    <t>Bush, Rena</t>
  </si>
  <si>
    <t>Simon, Sheila</t>
  </si>
  <si>
    <t>Johnston, Daniel</t>
  </si>
  <si>
    <t>Tucker, James</t>
  </si>
  <si>
    <t>Johns, Chad</t>
  </si>
  <si>
    <t>Griffin, Debbi</t>
  </si>
  <si>
    <t>Waters, Alfred</t>
  </si>
  <si>
    <t>Caldwell, Pete</t>
  </si>
  <si>
    <t>Bryant, Douglas</t>
  </si>
  <si>
    <t>Weeks, Troy</t>
  </si>
  <si>
    <t>Barr, Jennifer</t>
  </si>
  <si>
    <t>Jensen, Kristina</t>
  </si>
  <si>
    <t>Moore, Robert</t>
  </si>
  <si>
    <t>Sellers, William</t>
  </si>
  <si>
    <t>Maynard, Susan</t>
  </si>
  <si>
    <t>Norman, Rita</t>
  </si>
  <si>
    <t>Leon, Emily</t>
  </si>
  <si>
    <t>Vaughn, Harlon</t>
  </si>
  <si>
    <t>Arnold, Cole</t>
  </si>
  <si>
    <t>Kelly, Icelita</t>
  </si>
  <si>
    <t>Bowers, Tammy</t>
  </si>
  <si>
    <t>McCullough, Scott</t>
  </si>
  <si>
    <t>Owen, Robert</t>
  </si>
  <si>
    <t>Livingston, Lynette</t>
  </si>
  <si>
    <t>Lucas, John</t>
  </si>
  <si>
    <t>Byrd, Asa</t>
  </si>
  <si>
    <t>Short, Timothy</t>
  </si>
  <si>
    <t>McCarthy, Ryan</t>
  </si>
  <si>
    <t>Ball, Kirk</t>
  </si>
  <si>
    <t>Burke, Michael</t>
  </si>
  <si>
    <t>Pope, Duane</t>
  </si>
  <si>
    <t>Christensen, Jill</t>
  </si>
  <si>
    <t>Franklin, Alicia</t>
  </si>
  <si>
    <t>Moody, Matthew</t>
  </si>
  <si>
    <t>Bryan, Thomas</t>
  </si>
  <si>
    <t>Knight, Denise</t>
  </si>
  <si>
    <t>Stephenson, Matt</t>
  </si>
  <si>
    <t>Medina, Warren</t>
  </si>
  <si>
    <t>Wall, John</t>
  </si>
  <si>
    <t>Ellis, Brenda</t>
  </si>
  <si>
    <t>Ballard, Martin</t>
  </si>
  <si>
    <t>Reeves, Greg</t>
  </si>
  <si>
    <t>Sutton, Matthew</t>
  </si>
  <si>
    <t>Hancock, Allen</t>
  </si>
  <si>
    <t>Mathews, Marcia</t>
  </si>
  <si>
    <t>Saunders, Corey</t>
  </si>
  <si>
    <t>Banks, Ryan</t>
  </si>
  <si>
    <t>Fowler, John</t>
  </si>
  <si>
    <t>Greer, Brian</t>
  </si>
  <si>
    <t>Pace, Joseph</t>
  </si>
  <si>
    <t>Skinner, Jason</t>
  </si>
  <si>
    <t>Dudley, James</t>
  </si>
  <si>
    <t>Floyd, Eric</t>
  </si>
  <si>
    <t>Russell, Mark</t>
  </si>
  <si>
    <t>Chandler, Diane</t>
  </si>
  <si>
    <t>Mosley, Michael</t>
  </si>
  <si>
    <t>Robbins, Suzanne</t>
  </si>
  <si>
    <t>Walsh, Matthew</t>
  </si>
  <si>
    <t>Morris, Richelle</t>
  </si>
  <si>
    <t>Hess, Brian</t>
  </si>
  <si>
    <t>McClain, Steven</t>
  </si>
  <si>
    <t>Bennett, Chris</t>
  </si>
  <si>
    <t>Hodges, Lisa</t>
  </si>
  <si>
    <t>Bauer, Chris</t>
  </si>
  <si>
    <t>Best, Lara</t>
  </si>
  <si>
    <t>Guerrero, Laura</t>
  </si>
  <si>
    <t>Murray, Rebecca</t>
  </si>
  <si>
    <t>Anthony, Robert</t>
  </si>
  <si>
    <t>Sawyer, Catherine</t>
  </si>
  <si>
    <t>Alvarado, Sonia</t>
  </si>
  <si>
    <t>Olson, Melanie</t>
  </si>
  <si>
    <t>Peterson, Shaun</t>
  </si>
  <si>
    <t>Orr, Jennifer</t>
  </si>
  <si>
    <t>Cline, Rebecca</t>
  </si>
  <si>
    <t>Hines, Herb</t>
  </si>
  <si>
    <t>Underwood, Todd</t>
  </si>
  <si>
    <t>Terry, Karin</t>
  </si>
  <si>
    <t>Yates, Doug</t>
  </si>
  <si>
    <t>Luna, Rodney</t>
  </si>
  <si>
    <t>Wong, Dennis</t>
  </si>
  <si>
    <t>Mack, Barry</t>
  </si>
  <si>
    <t>Guerra, Karen</t>
  </si>
  <si>
    <t>Barton, Barry</t>
  </si>
  <si>
    <t>Gentry, John</t>
  </si>
  <si>
    <t>Williams, Scott</t>
  </si>
  <si>
    <t>Lamb, John</t>
  </si>
  <si>
    <t>Parsons, Phillip</t>
  </si>
  <si>
    <t>Contreras, Dean</t>
  </si>
  <si>
    <t>Dodson, David</t>
  </si>
  <si>
    <t>Rodriquez, Denise</t>
  </si>
  <si>
    <t>Webb, Jim</t>
  </si>
  <si>
    <t>Cross, Marc</t>
  </si>
  <si>
    <t>Watts, Curtis</t>
  </si>
  <si>
    <t>Bartlett, Julia</t>
  </si>
  <si>
    <t>Garza, Anthony</t>
  </si>
  <si>
    <t>Maldonado, Robert</t>
  </si>
  <si>
    <t>Estes, Mary</t>
  </si>
  <si>
    <t>Hartman, Michael</t>
  </si>
  <si>
    <t>Gutierrez, Regina</t>
  </si>
  <si>
    <t>West, Jeffrey</t>
  </si>
  <si>
    <t>Farmer, Suzanne</t>
  </si>
  <si>
    <t>Grant, Leonard</t>
  </si>
  <si>
    <t>Hayes, Edward</t>
  </si>
  <si>
    <t>Horn, George</t>
  </si>
  <si>
    <t>Frost, Adam</t>
  </si>
  <si>
    <t>Fitzgerald, George</t>
  </si>
  <si>
    <t>Carter, Allan</t>
  </si>
  <si>
    <t>Kirby, Michael</t>
  </si>
  <si>
    <t>Henson, Debra</t>
  </si>
  <si>
    <t>Higgins, Angela</t>
  </si>
  <si>
    <t>Cobb, Nicole</t>
  </si>
  <si>
    <t>Barker, Heidi</t>
  </si>
  <si>
    <t>Atkinson, Danielle</t>
  </si>
  <si>
    <t>Watkins, Gary</t>
  </si>
  <si>
    <t>Gilbert, Shannon</t>
  </si>
  <si>
    <t>Christian, Melissa</t>
  </si>
  <si>
    <t>Scott, Todd</t>
  </si>
  <si>
    <t>Burnett, Kevin</t>
  </si>
  <si>
    <t>Ayala, Polly</t>
  </si>
  <si>
    <t>Rivers, Douglas</t>
  </si>
  <si>
    <t>Neal, Sally</t>
  </si>
  <si>
    <t>Freeman, Dennis</t>
  </si>
  <si>
    <t>French, Robert</t>
  </si>
  <si>
    <t>Edwards, Phillip</t>
  </si>
  <si>
    <t>Lynch, Scott</t>
  </si>
  <si>
    <t>Shaw, Pat</t>
  </si>
  <si>
    <t>Jefferson, Elaine</t>
  </si>
  <si>
    <t>Booth, Raquel</t>
  </si>
  <si>
    <t>Soto, Christopher</t>
  </si>
  <si>
    <t>Serrano, Al</t>
  </si>
  <si>
    <t>Vasquez, Michael</t>
  </si>
  <si>
    <t>Shepherd, Annie</t>
  </si>
  <si>
    <t>Roman, Teri</t>
  </si>
  <si>
    <t>Cain, Lon</t>
  </si>
  <si>
    <t>Bean, Deborah</t>
  </si>
  <si>
    <t>Jackson, Eric</t>
  </si>
  <si>
    <t>Lindsey, Deborah</t>
  </si>
  <si>
    <t>Lawson, Erin</t>
  </si>
  <si>
    <t>Harper, Cynthia</t>
  </si>
  <si>
    <t>Preston, Chris</t>
  </si>
  <si>
    <t>Schmidt, Michael</t>
  </si>
  <si>
    <t>Ward, Williams</t>
  </si>
  <si>
    <t>William, William</t>
  </si>
  <si>
    <t>Gordon, Diane</t>
  </si>
  <si>
    <t>Ramsey, Nathaniel</t>
  </si>
  <si>
    <t>Morrow, Richard</t>
  </si>
  <si>
    <t>Andrews, Diane</t>
  </si>
  <si>
    <t>Howell, Douglas</t>
  </si>
  <si>
    <t>Vargas, Bryant</t>
  </si>
  <si>
    <t>Long, Gary</t>
  </si>
  <si>
    <t>Wiley, Gustavo</t>
  </si>
  <si>
    <t>Cannon, Jenny</t>
  </si>
  <si>
    <t>Walters, Ann</t>
  </si>
  <si>
    <t>Espinoza, Derrell</t>
  </si>
  <si>
    <t>Frank, William</t>
  </si>
  <si>
    <t>Austin, William</t>
  </si>
  <si>
    <t>Fox, Ellen</t>
  </si>
  <si>
    <t>Castillo, Sheri</t>
  </si>
  <si>
    <t>Cameron, John</t>
  </si>
  <si>
    <t>Wilson, Jessica</t>
  </si>
  <si>
    <t>Morton, Brian</t>
  </si>
  <si>
    <t>Delgado, Dale</t>
  </si>
  <si>
    <t>Walls, Brian</t>
  </si>
  <si>
    <t>Mann, Lowell</t>
  </si>
  <si>
    <t>Herrera, Shawn</t>
  </si>
  <si>
    <t>Hunter, Lisa</t>
  </si>
  <si>
    <t>Chapman, Jessica</t>
  </si>
  <si>
    <t>Shannon, Kevin</t>
  </si>
  <si>
    <t>Stanley, Eric</t>
  </si>
  <si>
    <t>Ashley, Michael</t>
  </si>
  <si>
    <t>Holloway, Chris</t>
  </si>
  <si>
    <t>Jennings, Gary</t>
  </si>
  <si>
    <t>Reid, Elizabeth</t>
  </si>
  <si>
    <t>Jenkins, Scott</t>
  </si>
  <si>
    <t>Glass, John</t>
  </si>
  <si>
    <t>Woodard, Charles</t>
  </si>
  <si>
    <t>Ford, Matt</t>
  </si>
  <si>
    <t>Solis, Daniel</t>
  </si>
  <si>
    <t>Villarreal, Stephen</t>
  </si>
  <si>
    <t>Doyle, Leslie</t>
  </si>
  <si>
    <t>Curry, Hunyen</t>
  </si>
  <si>
    <t>Wells, Carlos</t>
  </si>
  <si>
    <t>Cabe, Max</t>
  </si>
  <si>
    <t>King, Taslim</t>
  </si>
  <si>
    <t>Adkins, Michael</t>
  </si>
  <si>
    <t>Fisher, Maria</t>
  </si>
  <si>
    <t>Foster, Blane</t>
  </si>
  <si>
    <t>Rogers, Colleen</t>
  </si>
  <si>
    <t>Wilcox, Robert</t>
  </si>
  <si>
    <t>Abbott, James</t>
  </si>
  <si>
    <t>Kirk, Chris</t>
  </si>
  <si>
    <t>Black, Cliff</t>
  </si>
  <si>
    <t>Johnson, Mary Jo</t>
  </si>
  <si>
    <t>Alvarez, Steven</t>
  </si>
  <si>
    <t>Strong, Lisa</t>
  </si>
  <si>
    <t>Charles, Jeffrey</t>
  </si>
  <si>
    <t>Mason, Suzanne</t>
  </si>
  <si>
    <t>Acosta, Robert</t>
  </si>
  <si>
    <t>Pugh, Lawrence</t>
  </si>
  <si>
    <t>McDaniel, Tamara</t>
  </si>
  <si>
    <t>Hoffman, Brian D</t>
  </si>
  <si>
    <t>Carpenter, Ronald</t>
  </si>
  <si>
    <t>Stevens, Andrew</t>
  </si>
  <si>
    <t>Harrell, Cristin</t>
  </si>
  <si>
    <t>Dyer, Carrie</t>
  </si>
  <si>
    <t>Blankenship, Roger</t>
  </si>
  <si>
    <t>Barnes, Grant</t>
  </si>
  <si>
    <t>Turner, Ray</t>
  </si>
  <si>
    <t>Solomon, Michael</t>
  </si>
  <si>
    <t>Clark, William</t>
  </si>
  <si>
    <t>Tyler, Javier</t>
  </si>
  <si>
    <t>Owens, Dwight</t>
  </si>
  <si>
    <t>Schroeder, Bennet</t>
  </si>
  <si>
    <t>Henry, Craig</t>
  </si>
  <si>
    <t>Guzman, Don</t>
  </si>
  <si>
    <t>Aguilar, Kevin</t>
  </si>
  <si>
    <t>Gaines, Sheela</t>
  </si>
  <si>
    <t>Rush, Lateef</t>
  </si>
  <si>
    <t>Munoz, Michael</t>
  </si>
  <si>
    <t>Horton, Cleatis</t>
  </si>
  <si>
    <t>Lane, Brandyn</t>
  </si>
  <si>
    <t>Duncan, George</t>
  </si>
  <si>
    <t>Bruce, Kevin</t>
  </si>
  <si>
    <t>Ruiz, Randall</t>
  </si>
  <si>
    <t>Warner, Stephen</t>
  </si>
  <si>
    <t>Glenn, Christopher</t>
  </si>
  <si>
    <t>Vega, Alexandra</t>
  </si>
  <si>
    <t>Murphy, Jeff</t>
  </si>
  <si>
    <t>Middleton, Jen</t>
  </si>
  <si>
    <t>Ferguson, John</t>
  </si>
  <si>
    <t>Dennis, Paul</t>
  </si>
  <si>
    <t>Collier, Dean</t>
  </si>
  <si>
    <t>Santiago, Michael</t>
  </si>
  <si>
    <t>Branch, Brady</t>
  </si>
  <si>
    <t>Hughes, Kevin</t>
  </si>
  <si>
    <t>Harrington, Aron</t>
  </si>
  <si>
    <t>Hatfield, Carl</t>
  </si>
  <si>
    <t>Torres, Bruce</t>
  </si>
  <si>
    <t>McCormick, Hsi</t>
  </si>
  <si>
    <t>Miles, Kenneth</t>
  </si>
  <si>
    <t>Massey, Mark</t>
  </si>
  <si>
    <t>Cooper, Lisa</t>
  </si>
  <si>
    <t>Monroe, Justin</t>
  </si>
  <si>
    <t>Woods, Marcus</t>
  </si>
  <si>
    <t>Hoover, Evangeline</t>
  </si>
  <si>
    <t>Dean, Gayla</t>
  </si>
  <si>
    <t>Holt, Robert</t>
  </si>
  <si>
    <t>Hodge, Craig</t>
  </si>
  <si>
    <t>Avila, Jody</t>
  </si>
  <si>
    <t>Velez, Letitia</t>
  </si>
  <si>
    <t>Baldwin, Ray</t>
  </si>
  <si>
    <t>George, Jessica</t>
  </si>
  <si>
    <t>Rodgers, Daniel</t>
  </si>
  <si>
    <t>Giles, Kathleen</t>
  </si>
  <si>
    <t>Kelley, Nancy</t>
  </si>
  <si>
    <t>Armstrong, David</t>
  </si>
  <si>
    <t>Barrett, John</t>
  </si>
  <si>
    <t>Quinn, Cinnamon</t>
  </si>
  <si>
    <t>Keller, Jason</t>
  </si>
  <si>
    <t>Sparks, Terri</t>
  </si>
  <si>
    <t>Lang, Dana</t>
  </si>
  <si>
    <t>Singleton, David</t>
  </si>
  <si>
    <t>Hensley, William</t>
  </si>
  <si>
    <t>Blackwell, Brandon</t>
  </si>
  <si>
    <t>Erickson, Ricky</t>
  </si>
  <si>
    <t>Leonard, Paul</t>
  </si>
  <si>
    <t>McIntosh, Jeremy</t>
  </si>
  <si>
    <t>Ramirez, Keith</t>
  </si>
  <si>
    <t>Kramer, Faye</t>
  </si>
  <si>
    <t>Palmer, Terry</t>
  </si>
  <si>
    <t>Daniels, Janet</t>
  </si>
  <si>
    <t>Graves, Michael</t>
  </si>
  <si>
    <t>Hicks, Monica</t>
  </si>
  <si>
    <t>Newman, Aria</t>
  </si>
  <si>
    <t>Zimmerman, Julian</t>
  </si>
  <si>
    <t>Roy, Margarita</t>
  </si>
  <si>
    <t>Welch, Michael</t>
  </si>
  <si>
    <t>Pennington, Gary</t>
  </si>
  <si>
    <t>Hunt, Norman</t>
  </si>
  <si>
    <t>Casey, Ronald</t>
  </si>
  <si>
    <t>Grimes, Jeffrey</t>
  </si>
  <si>
    <t>Sandoval, James</t>
  </si>
  <si>
    <t>Beasley, Timothy</t>
  </si>
  <si>
    <t>Morrison, Julie</t>
  </si>
  <si>
    <t>Schwartz, Joseph</t>
  </si>
  <si>
    <t>Hansen, Andrew</t>
  </si>
  <si>
    <t>Morales, Linda</t>
  </si>
  <si>
    <t>Ortega, Jeffrey</t>
  </si>
  <si>
    <t>Mills, Melissa</t>
  </si>
  <si>
    <t>Stevenson, Michael</t>
  </si>
  <si>
    <t>Sheppard, Curtis</t>
  </si>
  <si>
    <t>Keith, Thomas</t>
  </si>
  <si>
    <t>Cook, Mark</t>
  </si>
  <si>
    <t>Bowen, Kes</t>
  </si>
  <si>
    <t>Davis, Tonya</t>
  </si>
  <si>
    <t>Hubbard, Sandra</t>
  </si>
  <si>
    <t>Blake, Thomas</t>
  </si>
  <si>
    <t>Buchanan, Dennis</t>
  </si>
  <si>
    <t>Brown, Donald</t>
  </si>
  <si>
    <t>Harvey, Michael</t>
  </si>
  <si>
    <t>Ware, David</t>
  </si>
  <si>
    <t>Parks, Christopher</t>
  </si>
  <si>
    <t>Kennedy, Kimberly</t>
  </si>
  <si>
    <t>Salazar, Ruben</t>
  </si>
  <si>
    <t>Davenport, Troy</t>
  </si>
  <si>
    <t>Cochran, Andrea</t>
  </si>
  <si>
    <t>Wilkerson, Claudia</t>
  </si>
  <si>
    <t>Snyder, Duane</t>
  </si>
  <si>
    <t>Myers, Marc</t>
  </si>
  <si>
    <t>Beard, Sandi</t>
  </si>
  <si>
    <t>Willis, Ralph</t>
  </si>
  <si>
    <t>Crawford, Ronald</t>
  </si>
  <si>
    <t>Rivera, Timothy</t>
  </si>
  <si>
    <t>Gibson, Janet</t>
  </si>
  <si>
    <t>Graham, David</t>
  </si>
  <si>
    <t>Lopez, Stephen</t>
  </si>
  <si>
    <t>Ortiz, Cynthia</t>
  </si>
  <si>
    <t>Hall, Jenny</t>
  </si>
  <si>
    <t>Cruz, Janene</t>
  </si>
  <si>
    <t>Jimenez, Dominic</t>
  </si>
  <si>
    <t>Sanchez, Greg</t>
  </si>
  <si>
    <t>Thomas, Shannon</t>
  </si>
  <si>
    <t>Larsen, Lara</t>
  </si>
  <si>
    <t>Goodwin, April</t>
  </si>
  <si>
    <t>Gray, Mark</t>
  </si>
  <si>
    <t>Sims, Don</t>
  </si>
  <si>
    <t>Marsh, Cynthia</t>
  </si>
  <si>
    <t>Martin, Terry</t>
  </si>
  <si>
    <t>Craig, Alan</t>
  </si>
  <si>
    <t>Hopkins, Lisa</t>
  </si>
  <si>
    <t>Rose, Mark</t>
  </si>
  <si>
    <t>Salinas, Jon</t>
  </si>
  <si>
    <t>Gonzalez, David</t>
  </si>
  <si>
    <t>Garcia, Karen</t>
  </si>
  <si>
    <t>Klein, Robert</t>
  </si>
  <si>
    <t>Sweeney, Barbara</t>
  </si>
  <si>
    <t>Hart, Richard</t>
  </si>
  <si>
    <t>McClure, Gary</t>
  </si>
  <si>
    <t>Lewis, Frederick</t>
  </si>
  <si>
    <t>Henderson, Anthony</t>
  </si>
  <si>
    <t>Lester, Sherri</t>
  </si>
  <si>
    <t>Webster, David</t>
  </si>
  <si>
    <t>Bailey, Victor</t>
  </si>
  <si>
    <t>Montoya, Lisa</t>
  </si>
  <si>
    <t>Dalton, Carol</t>
  </si>
  <si>
    <t>Patterson, Robert</t>
  </si>
  <si>
    <t>Leblanc, Jenny</t>
  </si>
  <si>
    <t>Olsen, Ewan</t>
  </si>
  <si>
    <t>Green, Kim</t>
  </si>
  <si>
    <t>Bradshaw, Sheryl</t>
  </si>
  <si>
    <t>Riley, David</t>
  </si>
  <si>
    <t>Flynn, Melissa</t>
  </si>
  <si>
    <t>O'Connor, Kent</t>
  </si>
  <si>
    <t>O'Neal, William</t>
  </si>
  <si>
    <t>O'Brien, Madelyn</t>
  </si>
  <si>
    <t>Babbitt, George</t>
  </si>
  <si>
    <t>Bickle, Travis</t>
  </si>
  <si>
    <t>Martinet, Jean</t>
  </si>
  <si>
    <t>Chauvin, Nicolas</t>
  </si>
  <si>
    <t>Bates, Norman</t>
  </si>
  <si>
    <t>Region</t>
  </si>
  <si>
    <t>SE</t>
  </si>
  <si>
    <t>PC</t>
  </si>
  <si>
    <t>SW</t>
  </si>
  <si>
    <t>MT</t>
  </si>
  <si>
    <t>MA</t>
  </si>
  <si>
    <t>NE</t>
  </si>
  <si>
    <t>MW</t>
  </si>
  <si>
    <t>Date</t>
  </si>
  <si>
    <t>Item#</t>
  </si>
  <si>
    <t>Size</t>
  </si>
  <si>
    <t>Shipping Cost</t>
  </si>
  <si>
    <t xml:space="preserve">Month: </t>
  </si>
  <si>
    <t>Combined</t>
  </si>
  <si>
    <t xml:space="preserve">Product: </t>
  </si>
  <si>
    <t>May</t>
  </si>
  <si>
    <t>Total</t>
  </si>
  <si>
    <t>Martinez, Angela</t>
  </si>
  <si>
    <t>Hackenbush, Hugo</t>
  </si>
  <si>
    <t>Anderson, Terry</t>
  </si>
  <si>
    <t>Comp.</t>
  </si>
  <si>
    <t>Holloway, Christopher</t>
  </si>
  <si>
    <t>Richardson, Deborah</t>
  </si>
  <si>
    <t>Carlson, Jeremy</t>
  </si>
  <si>
    <t>McKinney, Christofer</t>
  </si>
  <si>
    <t>Garrett, Christopher</t>
  </si>
  <si>
    <t>Moreno, Christopher</t>
  </si>
  <si>
    <t>Garrison, Christopher</t>
  </si>
  <si>
    <t>Stephenson, Matthew</t>
  </si>
  <si>
    <t>Montgomery, Christopher</t>
  </si>
  <si>
    <t>Lockhart, Ken</t>
  </si>
  <si>
    <t>Garcia, Sally</t>
  </si>
  <si>
    <t>Salesperson</t>
  </si>
  <si>
    <t>City</t>
  </si>
  <si>
    <t>Amount</t>
  </si>
  <si>
    <t>Houston</t>
  </si>
  <si>
    <t>Seattle</t>
  </si>
  <si>
    <t>Boston</t>
  </si>
  <si>
    <t>Chicago</t>
  </si>
  <si>
    <t>Los Angeles</t>
  </si>
  <si>
    <t>White, Walter</t>
  </si>
  <si>
    <t>Riley, Deborah</t>
  </si>
  <si>
    <t>Williamson, Sumedha</t>
  </si>
  <si>
    <t>Tetrazzini, Louisa</t>
  </si>
  <si>
    <t>Rodgers, Diana</t>
  </si>
  <si>
    <t>McMahon, Ed</t>
  </si>
  <si>
    <t>Driftwood, Otis P.</t>
  </si>
  <si>
    <t>Singer, Alvy</t>
  </si>
  <si>
    <t>Loman, Willy</t>
  </si>
  <si>
    <t>Muscari, Pat</t>
  </si>
  <si>
    <t>Quigley, Cherie</t>
  </si>
  <si>
    <t>Mantee, Duke</t>
  </si>
  <si>
    <t>Melish, Fielding</t>
  </si>
  <si>
    <t>Pinkman, Jesse</t>
  </si>
  <si>
    <t>Malloy, Terry</t>
  </si>
  <si>
    <t>Kimble, Richard</t>
  </si>
  <si>
    <t>Elliot, Tony</t>
  </si>
  <si>
    <t>Hollerith, Herman</t>
  </si>
  <si>
    <t>Kobus, Melissa</t>
  </si>
  <si>
    <t>Kane, Charles F.</t>
  </si>
  <si>
    <t>Lecter, Hannibal</t>
  </si>
  <si>
    <t>Thompson, Sara</t>
  </si>
  <si>
    <t>Firefly, Rufus T.</t>
  </si>
  <si>
    <t>Boesky, Alvin</t>
  </si>
  <si>
    <t>Cincinnnati</t>
  </si>
  <si>
    <t>Albuquerque</t>
  </si>
  <si>
    <t>Goodman, Saul</t>
  </si>
  <si>
    <t>Braun, Bob</t>
  </si>
  <si>
    <t>Clooney, Nick</t>
  </si>
  <si>
    <t>Kappelhoff, Doris</t>
  </si>
  <si>
    <t>Power, Tyrone</t>
  </si>
  <si>
    <t>O'Neill William</t>
  </si>
  <si>
    <t>Bench, Johnny</t>
  </si>
  <si>
    <t>Stenger, Mary</t>
  </si>
  <si>
    <t>Kahn, Kate</t>
  </si>
  <si>
    <t>Springer, Jerry</t>
  </si>
  <si>
    <t>Cincinnati</t>
  </si>
  <si>
    <t>Employee</t>
  </si>
  <si>
    <t>Slye, Leonard</t>
  </si>
  <si>
    <t>Cortez, Jose</t>
  </si>
  <si>
    <t>Chan, Diane</t>
  </si>
  <si>
    <t>Brown, Lincoln</t>
  </si>
  <si>
    <t>Camarena, Javier</t>
  </si>
  <si>
    <t>Sales</t>
  </si>
  <si>
    <t>Aguilar, Ken</t>
  </si>
  <si>
    <t>Size 1</t>
  </si>
  <si>
    <t>Size 2</t>
  </si>
  <si>
    <t>Size 3</t>
  </si>
  <si>
    <t>Size 4</t>
  </si>
  <si>
    <t>Size 5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</si>
  <si>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</si>
  <si>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</si>
  <si>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</si>
  <si>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</si>
  <si>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</si>
  <si>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</si>
  <si>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</si>
  <si>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</si>
  <si>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</t>
  </si>
  <si>
    <t>Item Sizes</t>
  </si>
  <si>
    <t>Shipping Zones</t>
  </si>
  <si>
    <t>Rios, Frederick</t>
  </si>
  <si>
    <t>McGee, Rick</t>
  </si>
  <si>
    <t>Rick</t>
  </si>
  <si>
    <t>Orr, Robert</t>
  </si>
  <si>
    <t>Desmond, Norma</t>
  </si>
  <si>
    <t>Griffey, Ken</t>
  </si>
  <si>
    <t>Watts, Judy</t>
  </si>
  <si>
    <t>ID#</t>
  </si>
  <si>
    <t>282N50</t>
  </si>
  <si>
    <t>649L99</t>
  </si>
  <si>
    <t>625B53</t>
  </si>
  <si>
    <t>679C30</t>
  </si>
  <si>
    <t>351M38</t>
  </si>
  <si>
    <t>824M89</t>
  </si>
  <si>
    <t>308R21</t>
  </si>
  <si>
    <t>169B48</t>
  </si>
  <si>
    <t>843B46</t>
  </si>
  <si>
    <t>460C32</t>
  </si>
  <si>
    <t>989B50</t>
  </si>
  <si>
    <t>249B30</t>
  </si>
  <si>
    <t>364M19</t>
  </si>
  <si>
    <t>832P61</t>
  </si>
  <si>
    <t>251S80</t>
  </si>
  <si>
    <t>160K28</t>
  </si>
  <si>
    <t>940S99</t>
  </si>
  <si>
    <t>212W70</t>
  </si>
  <si>
    <t>309T42</t>
  </si>
  <si>
    <t>438C28</t>
  </si>
  <si>
    <t>714S45</t>
  </si>
  <si>
    <t>937M92</t>
  </si>
  <si>
    <t>604R46</t>
  </si>
  <si>
    <t>867V14</t>
  </si>
  <si>
    <t>584P90</t>
  </si>
  <si>
    <t>843M69</t>
  </si>
  <si>
    <t>291H75</t>
  </si>
  <si>
    <t>790V45</t>
  </si>
  <si>
    <t>494B38</t>
  </si>
  <si>
    <t>252F41</t>
  </si>
  <si>
    <t>309F62</t>
  </si>
  <si>
    <t>673P29</t>
  </si>
  <si>
    <t>978H58</t>
  </si>
  <si>
    <t>363H23</t>
  </si>
  <si>
    <t>362G81</t>
  </si>
  <si>
    <t>722V93</t>
  </si>
  <si>
    <t>599M88</t>
  </si>
  <si>
    <t>627B75</t>
  </si>
  <si>
    <t>592S55</t>
  </si>
  <si>
    <t>329C29</t>
  </si>
  <si>
    <t>850W15</t>
  </si>
  <si>
    <t>844P67</t>
  </si>
  <si>
    <t>810R94</t>
  </si>
  <si>
    <t>537A92</t>
  </si>
  <si>
    <t>164R60</t>
  </si>
  <si>
    <t>492H19</t>
  </si>
  <si>
    <t>374R53</t>
  </si>
  <si>
    <t>875D63</t>
  </si>
  <si>
    <t>656O31</t>
  </si>
  <si>
    <t>693S25</t>
  </si>
  <si>
    <t>712C22</t>
  </si>
  <si>
    <t>872O86</t>
  </si>
  <si>
    <t>349H26</t>
  </si>
  <si>
    <t>136F45</t>
  </si>
  <si>
    <t>849B67</t>
  </si>
  <si>
    <t>682W84</t>
  </si>
  <si>
    <t>446B89</t>
  </si>
  <si>
    <t>934M99</t>
  </si>
  <si>
    <t>708M61</t>
  </si>
  <si>
    <t>686D49</t>
  </si>
  <si>
    <t>757D36</t>
  </si>
  <si>
    <t>812G37</t>
  </si>
  <si>
    <t>997W29</t>
  </si>
  <si>
    <t>827L22</t>
  </si>
  <si>
    <t>318T85</t>
  </si>
  <si>
    <t>815J89</t>
  </si>
  <si>
    <t>308G96</t>
  </si>
  <si>
    <t>343G40</t>
  </si>
  <si>
    <t>730D32</t>
  </si>
  <si>
    <t>606M70</t>
  </si>
  <si>
    <t>340H87</t>
  </si>
  <si>
    <t>596L52</t>
  </si>
  <si>
    <t>525B70</t>
  </si>
  <si>
    <t>871C79</t>
  </si>
  <si>
    <t>843R23</t>
  </si>
  <si>
    <t>655H74</t>
  </si>
  <si>
    <t>990C33</t>
  </si>
  <si>
    <t>945P97</t>
  </si>
  <si>
    <t>483S17</t>
  </si>
  <si>
    <t>610H28</t>
  </si>
  <si>
    <t>365P64</t>
  </si>
  <si>
    <t>378C12</t>
  </si>
  <si>
    <t>779O88</t>
  </si>
  <si>
    <t>455H25</t>
  </si>
  <si>
    <t>142N32</t>
  </si>
  <si>
    <t>937R30</t>
  </si>
  <si>
    <t>430R88</t>
  </si>
  <si>
    <t>288M18</t>
  </si>
  <si>
    <t>932N43</t>
  </si>
  <si>
    <t>579A43</t>
  </si>
  <si>
    <t>518S83</t>
  </si>
  <si>
    <t>281H66</t>
  </si>
  <si>
    <t>955C87</t>
  </si>
  <si>
    <t>611G22</t>
  </si>
  <si>
    <t>238C45</t>
  </si>
  <si>
    <t>227R40</t>
  </si>
  <si>
    <t>481N74</t>
  </si>
  <si>
    <t>706F58</t>
  </si>
  <si>
    <t>942C84</t>
  </si>
  <si>
    <t>723A83</t>
  </si>
  <si>
    <t>915H35</t>
  </si>
  <si>
    <t>516A77</t>
  </si>
  <si>
    <t>878L69</t>
  </si>
  <si>
    <t>873W86</t>
  </si>
  <si>
    <t>653B84</t>
  </si>
  <si>
    <t>651C73</t>
  </si>
  <si>
    <t>858T56</t>
  </si>
  <si>
    <t>354M95</t>
  </si>
  <si>
    <t>412W51</t>
  </si>
  <si>
    <t>279S81</t>
  </si>
  <si>
    <t>773W61</t>
  </si>
  <si>
    <t>746B80</t>
  </si>
  <si>
    <t>406J66</t>
  </si>
  <si>
    <t>176B48</t>
  </si>
  <si>
    <t>747B41</t>
  </si>
  <si>
    <t>438C95</t>
  </si>
  <si>
    <t>985L19</t>
  </si>
  <si>
    <t>343B67</t>
  </si>
  <si>
    <t>734C59</t>
  </si>
  <si>
    <t>882R93</t>
  </si>
  <si>
    <t>580K76</t>
  </si>
  <si>
    <t>480S78</t>
  </si>
  <si>
    <t>606B16</t>
  </si>
  <si>
    <t>199F57</t>
  </si>
  <si>
    <t>599S44</t>
  </si>
  <si>
    <t>953S18</t>
  </si>
  <si>
    <t>796F20</t>
  </si>
  <si>
    <t>583P76</t>
  </si>
  <si>
    <t>600H99</t>
  </si>
  <si>
    <t>525R40</t>
  </si>
  <si>
    <t>936S39</t>
  </si>
  <si>
    <t>575W79</t>
  </si>
  <si>
    <t>768T58</t>
  </si>
  <si>
    <t>998H69</t>
  </si>
  <si>
    <t>984C83</t>
  </si>
  <si>
    <t>534N58</t>
  </si>
  <si>
    <t>990F41</t>
  </si>
  <si>
    <t>275W37</t>
  </si>
  <si>
    <t>967H58</t>
  </si>
  <si>
    <t>360H98</t>
  </si>
  <si>
    <t>563C29</t>
  </si>
  <si>
    <t>885L47</t>
  </si>
  <si>
    <t>654H31</t>
  </si>
  <si>
    <t>912P59</t>
  </si>
  <si>
    <t>541N86</t>
  </si>
  <si>
    <t>745H12</t>
  </si>
  <si>
    <t>703L85</t>
  </si>
  <si>
    <t>308K28</t>
  </si>
  <si>
    <t>408N19</t>
  </si>
  <si>
    <t>817M51</t>
  </si>
  <si>
    <t>300S47</t>
  </si>
  <si>
    <t>492B68</t>
  </si>
  <si>
    <t>176W41</t>
  </si>
  <si>
    <t>567H22</t>
  </si>
  <si>
    <t>428R30</t>
  </si>
  <si>
    <t>325S45</t>
  </si>
  <si>
    <t>758A61</t>
  </si>
  <si>
    <t>749N57</t>
  </si>
  <si>
    <t>388R60</t>
  </si>
  <si>
    <t>759O58</t>
  </si>
  <si>
    <t>888M34</t>
  </si>
  <si>
    <t>983M50</t>
  </si>
  <si>
    <t>913R51</t>
  </si>
  <si>
    <t>939W86</t>
  </si>
  <si>
    <t>202D50</t>
  </si>
  <si>
    <t>516S23</t>
  </si>
  <si>
    <t>377A45</t>
  </si>
  <si>
    <t>200A16</t>
  </si>
  <si>
    <t>132S76</t>
  </si>
  <si>
    <t>645H91</t>
  </si>
  <si>
    <t>425M61</t>
  </si>
  <si>
    <t>123P12</t>
  </si>
  <si>
    <t>475H47</t>
  </si>
  <si>
    <t>303H86</t>
  </si>
  <si>
    <t>634D49</t>
  </si>
  <si>
    <t>465B86</t>
  </si>
  <si>
    <t>822B81</t>
  </si>
  <si>
    <t>798S95</t>
  </si>
  <si>
    <t>120M89</t>
  </si>
  <si>
    <t>532P51</t>
  </si>
  <si>
    <t>148D15</t>
  </si>
  <si>
    <t>926P84</t>
  </si>
  <si>
    <t>231S87</t>
  </si>
  <si>
    <t>141V76</t>
  </si>
  <si>
    <t>808H53</t>
  </si>
  <si>
    <t>357B36</t>
  </si>
  <si>
    <t>947M15</t>
  </si>
  <si>
    <t>469M58</t>
  </si>
  <si>
    <t>519C19</t>
  </si>
  <si>
    <t>205S79</t>
  </si>
  <si>
    <t>680M40</t>
  </si>
  <si>
    <t>520H77</t>
  </si>
  <si>
    <t>989A39</t>
  </si>
  <si>
    <t>745B60</t>
  </si>
  <si>
    <t>889R45</t>
  </si>
  <si>
    <t>913P61</t>
  </si>
  <si>
    <t>317B18</t>
  </si>
  <si>
    <t>912F14</t>
  </si>
  <si>
    <t>625R46</t>
  </si>
  <si>
    <t>458W51</t>
  </si>
  <si>
    <t>140D57</t>
  </si>
  <si>
    <t>437M67</t>
  </si>
  <si>
    <t>163W32</t>
  </si>
  <si>
    <t>701G79</t>
  </si>
  <si>
    <t>492W87</t>
  </si>
  <si>
    <t>998H31</t>
  </si>
  <si>
    <t>707B44</t>
  </si>
  <si>
    <t>416G24</t>
  </si>
  <si>
    <t>992V98</t>
  </si>
  <si>
    <t>953M53</t>
  </si>
  <si>
    <t>215M38</t>
  </si>
  <si>
    <t>578W90</t>
  </si>
  <si>
    <t>936M58</t>
  </si>
  <si>
    <t>974P75</t>
  </si>
  <si>
    <t>965C41</t>
  </si>
  <si>
    <t>715L47</t>
  </si>
  <si>
    <t>823K34</t>
  </si>
  <si>
    <t>163T76</t>
  </si>
  <si>
    <t>800C17</t>
  </si>
  <si>
    <t>173G63</t>
  </si>
  <si>
    <t>247R37</t>
  </si>
  <si>
    <t>906H50</t>
  </si>
  <si>
    <t>967O92</t>
  </si>
  <si>
    <t>208B53</t>
  </si>
  <si>
    <t>746S37</t>
  </si>
  <si>
    <t>315C23</t>
  </si>
  <si>
    <t>559W91</t>
  </si>
  <si>
    <t>474P41</t>
  </si>
  <si>
    <t>703C14</t>
  </si>
  <si>
    <t>149G20</t>
  </si>
  <si>
    <t>929H87</t>
  </si>
  <si>
    <t>759H13</t>
  </si>
  <si>
    <t>169G64</t>
  </si>
  <si>
    <t>761V74</t>
  </si>
  <si>
    <t>401M87</t>
  </si>
  <si>
    <t>670H78</t>
  </si>
  <si>
    <t>515B56</t>
  </si>
  <si>
    <t>891D85</t>
  </si>
  <si>
    <t>276D51</t>
  </si>
  <si>
    <t>953J92</t>
  </si>
  <si>
    <t>412B26</t>
  </si>
  <si>
    <t>447B55</t>
  </si>
  <si>
    <t>318P29</t>
  </si>
  <si>
    <t>761B24</t>
  </si>
  <si>
    <t>124R80</t>
  </si>
  <si>
    <t>541P99</t>
  </si>
  <si>
    <t>362K56</t>
  </si>
  <si>
    <t>300B77</t>
  </si>
  <si>
    <t>237C98</t>
  </si>
  <si>
    <t>905L15</t>
  </si>
  <si>
    <t>886D41</t>
  </si>
  <si>
    <t>427S29</t>
  </si>
  <si>
    <t>732M97</t>
  </si>
  <si>
    <t>686V86</t>
  </si>
  <si>
    <t>640M94</t>
  </si>
  <si>
    <t>984C35</t>
  </si>
  <si>
    <t>153W27</t>
  </si>
  <si>
    <t>746A36</t>
  </si>
  <si>
    <t>454G40</t>
  </si>
  <si>
    <t>409S51</t>
  </si>
  <si>
    <t>460P67</t>
  </si>
  <si>
    <t>838M61</t>
  </si>
  <si>
    <t>151M29</t>
  </si>
  <si>
    <t>770W80</t>
  </si>
  <si>
    <t>607M22</t>
  </si>
  <si>
    <t>122J15</t>
  </si>
  <si>
    <t>714H40</t>
  </si>
  <si>
    <t>854S52</t>
  </si>
  <si>
    <t>750F61</t>
  </si>
  <si>
    <t>953W63</t>
  </si>
  <si>
    <t>354N77</t>
  </si>
  <si>
    <t>972T47</t>
  </si>
  <si>
    <t>571M95</t>
  </si>
  <si>
    <t>249A54</t>
  </si>
  <si>
    <t>437A73</t>
  </si>
  <si>
    <t>604D12</t>
  </si>
  <si>
    <t>888H70</t>
  </si>
  <si>
    <t>230H27</t>
  </si>
  <si>
    <t>177R13</t>
  </si>
  <si>
    <t>530P42</t>
  </si>
  <si>
    <t>458L40</t>
  </si>
  <si>
    <t>359M66</t>
  </si>
  <si>
    <t>661V74</t>
  </si>
  <si>
    <t>895K90</t>
  </si>
  <si>
    <t>123B41</t>
  </si>
  <si>
    <t>846C20</t>
  </si>
  <si>
    <t>509B41</t>
  </si>
  <si>
    <t>183W41</t>
  </si>
  <si>
    <t>939G12</t>
  </si>
  <si>
    <t>221B88</t>
  </si>
  <si>
    <t>179G73</t>
  </si>
  <si>
    <t>836M90</t>
  </si>
  <si>
    <t>845S87</t>
  </si>
  <si>
    <t>689F23</t>
  </si>
  <si>
    <t>781W89</t>
  </si>
  <si>
    <t>197W23</t>
  </si>
  <si>
    <t>828D97</t>
  </si>
  <si>
    <t>975L58</t>
  </si>
  <si>
    <t>225D65</t>
  </si>
  <si>
    <t>887L28</t>
  </si>
  <si>
    <t>578C98</t>
  </si>
  <si>
    <t>279K41</t>
  </si>
  <si>
    <t>196R42</t>
  </si>
  <si>
    <t>430D97</t>
  </si>
  <si>
    <t>909H91</t>
  </si>
  <si>
    <t>672V40</t>
  </si>
  <si>
    <t>455F32</t>
  </si>
  <si>
    <t>592G25</t>
  </si>
  <si>
    <t>621I78</t>
  </si>
  <si>
    <t>636A37</t>
  </si>
  <si>
    <t>254B45</t>
  </si>
  <si>
    <t>143B17</t>
  </si>
  <si>
    <t>694T71</t>
  </si>
  <si>
    <t>533J53</t>
  </si>
  <si>
    <t>987K58</t>
  </si>
  <si>
    <t>239L14</t>
  </si>
  <si>
    <t>239R90</t>
  </si>
  <si>
    <t>294B48</t>
  </si>
  <si>
    <t>858O18</t>
  </si>
  <si>
    <t>959Y38</t>
  </si>
  <si>
    <t>933P12</t>
  </si>
  <si>
    <t>339F53</t>
  </si>
  <si>
    <t>147T55</t>
  </si>
  <si>
    <t>636S23</t>
  </si>
  <si>
    <t>504F20</t>
  </si>
  <si>
    <t>152W98</t>
  </si>
  <si>
    <t>498W86</t>
  </si>
  <si>
    <t>207C65</t>
  </si>
  <si>
    <t>654H74</t>
  </si>
  <si>
    <t>130M63</t>
  </si>
  <si>
    <t>964G59</t>
  </si>
  <si>
    <t>593B43</t>
  </si>
  <si>
    <t>954H45</t>
  </si>
  <si>
    <t>760B36</t>
  </si>
  <si>
    <t>228V97</t>
  </si>
  <si>
    <t>255B74</t>
  </si>
  <si>
    <t>425H88</t>
  </si>
  <si>
    <t>116C90</t>
  </si>
  <si>
    <t>870O39</t>
  </si>
  <si>
    <t>484N62</t>
  </si>
  <si>
    <t>804C88</t>
  </si>
  <si>
    <t>690M86</t>
  </si>
  <si>
    <t>620J93</t>
  </si>
  <si>
    <t>932R81</t>
  </si>
  <si>
    <t>833C63</t>
  </si>
  <si>
    <t>727S98</t>
  </si>
  <si>
    <t>475A61</t>
  </si>
  <si>
    <t>949S27</t>
  </si>
  <si>
    <t>947B39</t>
  </si>
  <si>
    <t>586P57</t>
  </si>
  <si>
    <t>463H64</t>
  </si>
  <si>
    <t>394W89</t>
  </si>
  <si>
    <t>563H59</t>
  </si>
  <si>
    <t>523B85</t>
  </si>
  <si>
    <t>460H60</t>
  </si>
  <si>
    <t>890G38</t>
  </si>
  <si>
    <t>973P85</t>
  </si>
  <si>
    <t>605S67</t>
  </si>
  <si>
    <t>758G24</t>
  </si>
  <si>
    <t>917H34</t>
  </si>
  <si>
    <t>757R40</t>
  </si>
  <si>
    <t>623G61</t>
  </si>
  <si>
    <t>486F78</t>
  </si>
  <si>
    <t>839S86</t>
  </si>
  <si>
    <t>702H28</t>
  </si>
  <si>
    <t>495S91</t>
  </si>
  <si>
    <t>306C12</t>
  </si>
  <si>
    <t>798R11</t>
  </si>
  <si>
    <t>458M59</t>
  </si>
  <si>
    <t>140D39</t>
  </si>
  <si>
    <t>191R49</t>
  </si>
  <si>
    <t>595B86</t>
  </si>
  <si>
    <t>866R28</t>
  </si>
  <si>
    <t>554F34</t>
  </si>
  <si>
    <t>705R17</t>
  </si>
  <si>
    <t>269M83</t>
  </si>
  <si>
    <t>999S31</t>
  </si>
  <si>
    <t>791D57</t>
  </si>
  <si>
    <t>427A40</t>
  </si>
  <si>
    <t>348L32</t>
  </si>
  <si>
    <t>207H38</t>
  </si>
  <si>
    <t>518R88</t>
  </si>
  <si>
    <t>798N63</t>
  </si>
  <si>
    <t>427F87</t>
  </si>
  <si>
    <t>447M99</t>
  </si>
  <si>
    <t>649B59</t>
  </si>
  <si>
    <t>293G28</t>
  </si>
  <si>
    <t>959D76</t>
  </si>
  <si>
    <t>773H72</t>
  </si>
  <si>
    <t>985R80</t>
  </si>
  <si>
    <t>610M19</t>
  </si>
  <si>
    <t>351S35</t>
  </si>
  <si>
    <t>642M14</t>
  </si>
  <si>
    <t>506H80</t>
  </si>
  <si>
    <t>844W83</t>
  </si>
  <si>
    <t>441F81</t>
  </si>
  <si>
    <t>873B98</t>
  </si>
  <si>
    <t>644W21</t>
  </si>
  <si>
    <t>786G32</t>
  </si>
  <si>
    <t>660G30</t>
  </si>
  <si>
    <t>281B83</t>
  </si>
  <si>
    <t>835W96</t>
  </si>
  <si>
    <t>675M63</t>
  </si>
  <si>
    <t>848M53</t>
  </si>
  <si>
    <t>430P38</t>
  </si>
  <si>
    <t>942G21</t>
  </si>
  <si>
    <t>584N92</t>
  </si>
  <si>
    <t>591G22</t>
  </si>
  <si>
    <t>274D37</t>
  </si>
  <si>
    <t>720P47</t>
  </si>
  <si>
    <t>718G51</t>
  </si>
  <si>
    <t>210R29</t>
  </si>
  <si>
    <t>803S55</t>
  </si>
  <si>
    <t>256M69</t>
  </si>
  <si>
    <t>264C49</t>
  </si>
  <si>
    <t>472S25</t>
  </si>
  <si>
    <t>936H22</t>
  </si>
  <si>
    <t>167S24</t>
  </si>
  <si>
    <t>663H39</t>
  </si>
  <si>
    <t>523F86</t>
  </si>
  <si>
    <t>252M53</t>
  </si>
  <si>
    <t>401L97</t>
  </si>
  <si>
    <t>458J91</t>
  </si>
  <si>
    <t>127U91</t>
  </si>
  <si>
    <t>861S66</t>
  </si>
  <si>
    <t>930G51</t>
  </si>
  <si>
    <t>914D93</t>
  </si>
  <si>
    <t>724W72</t>
  </si>
  <si>
    <t>422B75</t>
  </si>
  <si>
    <t>226S57</t>
  </si>
  <si>
    <t>304F67</t>
  </si>
  <si>
    <t>348L45</t>
  </si>
  <si>
    <t>879M99</t>
  </si>
  <si>
    <t>586A80</t>
  </si>
  <si>
    <t>784S47</t>
  </si>
  <si>
    <t>827D96</t>
  </si>
  <si>
    <t>503M77</t>
  </si>
  <si>
    <t>661K88</t>
  </si>
  <si>
    <t>303P66</t>
  </si>
  <si>
    <t>718D37</t>
  </si>
  <si>
    <t>293G71</t>
  </si>
  <si>
    <t>663S35</t>
  </si>
  <si>
    <t>722B81</t>
  </si>
  <si>
    <t>396F12</t>
  </si>
  <si>
    <t>710C64</t>
  </si>
  <si>
    <t>472G48</t>
  </si>
  <si>
    <t>271M51</t>
  </si>
  <si>
    <t>125C34</t>
  </si>
  <si>
    <t>762D14</t>
  </si>
  <si>
    <t>334F12</t>
  </si>
  <si>
    <t>767C19</t>
  </si>
  <si>
    <t>267J24</t>
  </si>
  <si>
    <t>229R80</t>
  </si>
  <si>
    <t>228V88</t>
  </si>
  <si>
    <t>607O71</t>
  </si>
  <si>
    <t>783M22</t>
  </si>
  <si>
    <t>858K98</t>
  </si>
  <si>
    <t>330F13</t>
  </si>
  <si>
    <t>481M74</t>
  </si>
  <si>
    <t>417C82</t>
  </si>
  <si>
    <t>680T65</t>
  </si>
  <si>
    <t>419H63</t>
  </si>
  <si>
    <t>237L41</t>
  </si>
  <si>
    <t>604D64</t>
  </si>
  <si>
    <t>830R18</t>
  </si>
  <si>
    <t>216W89</t>
  </si>
  <si>
    <t>114W89</t>
  </si>
  <si>
    <t>790G41</t>
  </si>
  <si>
    <t>345M96</t>
  </si>
  <si>
    <t>733W15</t>
  </si>
  <si>
    <t>680M41</t>
  </si>
  <si>
    <t>755B77</t>
  </si>
  <si>
    <t>346P88</t>
  </si>
  <si>
    <t>708M79</t>
  </si>
  <si>
    <t>421G67</t>
  </si>
  <si>
    <t>648B66</t>
  </si>
  <si>
    <t>916N46</t>
  </si>
  <si>
    <t>715M97</t>
  </si>
  <si>
    <t>592V40</t>
  </si>
  <si>
    <t>547C83</t>
  </si>
  <si>
    <t>136G56</t>
  </si>
  <si>
    <t>251K69</t>
  </si>
  <si>
    <t>460M27</t>
  </si>
  <si>
    <t>618S15</t>
  </si>
  <si>
    <t>672P91</t>
  </si>
  <si>
    <t>126F99</t>
  </si>
  <si>
    <t>273G44</t>
  </si>
  <si>
    <t>660T41</t>
  </si>
  <si>
    <t>225A53</t>
  </si>
  <si>
    <t>727P92</t>
  </si>
  <si>
    <t>671C56</t>
  </si>
  <si>
    <t>779B32</t>
  </si>
  <si>
    <t>529L70</t>
  </si>
  <si>
    <t>535C50</t>
  </si>
  <si>
    <t>626C23</t>
  </si>
  <si>
    <t>909F14</t>
  </si>
  <si>
    <t>Perez, Javier</t>
  </si>
  <si>
    <t>Blackburn, Kathy</t>
  </si>
  <si>
    <t>Rugs</t>
  </si>
  <si>
    <t>Chairs</t>
  </si>
  <si>
    <t>Desks</t>
  </si>
  <si>
    <t>Tables</t>
  </si>
  <si>
    <t>Lopez, Jamie</t>
  </si>
  <si>
    <t>Kerr, Michaela</t>
  </si>
  <si>
    <t>Bernheim, Ben</t>
  </si>
  <si>
    <t>Berne, Ben</t>
  </si>
  <si>
    <t>Harris Michael</t>
  </si>
  <si>
    <t>Harrison, Douglas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</si>
  <si>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</si>
  <si>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</si>
  <si>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</si>
  <si>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</si>
  <si>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</si>
  <si>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</si>
  <si>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</si>
  <si>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</si>
  <si>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</si>
  <si>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</si>
  <si>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</si>
  <si>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desks</t>
  </si>
  <si>
    <t>Name</t>
  </si>
  <si>
    <t>Age</t>
  </si>
  <si>
    <t>Sana</t>
  </si>
  <si>
    <t>Doha</t>
  </si>
  <si>
    <t>Ali</t>
  </si>
  <si>
    <t>Dubai</t>
  </si>
  <si>
    <t>Riyadh</t>
  </si>
  <si>
    <t>Qatar</t>
  </si>
  <si>
    <t>ProductID</t>
  </si>
  <si>
    <t>ProductName</t>
  </si>
  <si>
    <t>Price</t>
  </si>
  <si>
    <t>A</t>
  </si>
  <si>
    <t>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</si>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</sst>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000\-00\-0000"/>
    <numFmt numFmtId="167" formatCode="000\-00\-000"/>
    <numFmt numFmtId="168" formatCode="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ourier"/>
      <family val="3"/>
    </font>
    <font>
      <b/>
      <sz val="11"/>
      <name val="Aptos"/>
      <family val="2"/>
    </font>
    <font>
      <sz val="11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6" fillId="0" borderId="0"/>
    <xf numFmtId="0" fontId="2" fillId="0" borderId="0"/>
  </cellStyleXfs>
  <cellXfs count="51">
    <xf numFmtId="0" fontId="0" fillId="0" borderId="0" xfId="0"/>
    <xf numFmtId="0" fontId="5" fillId="0" borderId="0" xfId="2" applyFont="1"/>
    <xf numFmtId="166" fontId="5" fillId="0" borderId="0" xfId="1" applyNumberFormat="1" applyFont="1"/>
    <xf numFmtId="0" fontId="4" fillId="0" borderId="0" xfId="2" applyFont="1" applyAlignment="1">
      <alignment horizontal="right"/>
    </xf>
    <xf numFmtId="0" fontId="5" fillId="0" borderId="0" xfId="2" applyFont="1" applyAlignment="1">
      <alignment horizontal="right"/>
    </xf>
    <xf numFmtId="0" fontId="4" fillId="2" borderId="1" xfId="2" applyFont="1" applyFill="1" applyBorder="1"/>
    <xf numFmtId="3" fontId="5" fillId="0" borderId="0" xfId="2" applyNumberFormat="1" applyFont="1"/>
    <xf numFmtId="0" fontId="4" fillId="0" borderId="0" xfId="2" applyFont="1"/>
    <xf numFmtId="3" fontId="5" fillId="3" borderId="1" xfId="1" applyNumberFormat="1" applyFont="1" applyFill="1" applyBorder="1"/>
    <xf numFmtId="3" fontId="4" fillId="3" borderId="1" xfId="1" applyNumberFormat="1" applyFont="1" applyFill="1" applyBorder="1"/>
    <xf numFmtId="3" fontId="4" fillId="4" borderId="1" xfId="2" applyNumberFormat="1" applyFont="1" applyFill="1" applyBorder="1" applyAlignment="1">
      <alignment horizontal="right"/>
    </xf>
    <xf numFmtId="166" fontId="7" fillId="2" borderId="1" xfId="2" applyNumberFormat="1" applyFont="1" applyFill="1" applyBorder="1" applyAlignment="1">
      <alignment horizontal="left" vertical="top"/>
    </xf>
    <xf numFmtId="166" fontId="7" fillId="2" borderId="1" xfId="2" applyNumberFormat="1" applyFont="1" applyFill="1" applyBorder="1" applyAlignment="1">
      <alignment horizontal="center" vertical="top"/>
    </xf>
    <xf numFmtId="0" fontId="1" fillId="0" borderId="0" xfId="0" applyFont="1"/>
    <xf numFmtId="0" fontId="8" fillId="0" borderId="0" xfId="2" applyFont="1"/>
    <xf numFmtId="167" fontId="1" fillId="0" borderId="0" xfId="7" applyNumberFormat="1" applyFont="1" applyAlignment="1">
      <alignment horizontal="center"/>
    </xf>
    <xf numFmtId="0" fontId="8" fillId="0" borderId="0" xfId="1" applyNumberFormat="1" applyFont="1"/>
    <xf numFmtId="0" fontId="7" fillId="5" borderId="2" xfId="2" applyFont="1" applyFill="1" applyBorder="1" applyAlignment="1">
      <alignment horizontal="left"/>
    </xf>
    <xf numFmtId="3" fontId="7" fillId="5" borderId="2" xfId="2" applyNumberFormat="1" applyFont="1" applyFill="1" applyBorder="1" applyAlignment="1">
      <alignment horizontal="left"/>
    </xf>
    <xf numFmtId="14" fontId="7" fillId="5" borderId="2" xfId="2" applyNumberFormat="1" applyFont="1" applyFill="1" applyBorder="1" applyAlignment="1">
      <alignment horizontal="right"/>
    </xf>
    <xf numFmtId="0" fontId="8" fillId="0" borderId="0" xfId="3" applyNumberFormat="1" applyFont="1"/>
    <xf numFmtId="3" fontId="8" fillId="0" borderId="0" xfId="2" applyNumberFormat="1" applyFont="1"/>
    <xf numFmtId="14" fontId="8" fillId="0" borderId="0" xfId="2" applyNumberFormat="1" applyFont="1"/>
    <xf numFmtId="165" fontId="8" fillId="0" borderId="0" xfId="6" applyFont="1" applyAlignment="1">
      <alignment horizontal="left"/>
    </xf>
    <xf numFmtId="0" fontId="8" fillId="0" borderId="0" xfId="2" applyFont="1" applyAlignment="1">
      <alignment horizontal="center"/>
    </xf>
    <xf numFmtId="4" fontId="8" fillId="0" borderId="0" xfId="1" applyNumberFormat="1" applyFont="1"/>
    <xf numFmtId="3" fontId="7" fillId="5" borderId="2" xfId="2" applyNumberFormat="1" applyFont="1" applyFill="1" applyBorder="1" applyAlignment="1">
      <alignment horizontal="center"/>
    </xf>
    <xf numFmtId="14" fontId="7" fillId="5" borderId="2" xfId="2" applyNumberFormat="1" applyFont="1" applyFill="1" applyBorder="1" applyAlignment="1">
      <alignment horizontal="center"/>
    </xf>
    <xf numFmtId="0" fontId="7" fillId="6" borderId="3" xfId="2" applyFont="1" applyFill="1" applyBorder="1" applyAlignment="1">
      <alignment horizontal="right" vertical="center"/>
    </xf>
    <xf numFmtId="4" fontId="8" fillId="0" borderId="0" xfId="2" applyNumberFormat="1" applyFont="1"/>
    <xf numFmtId="0" fontId="7" fillId="7" borderId="2" xfId="2" applyFont="1" applyFill="1" applyBorder="1"/>
    <xf numFmtId="2" fontId="8" fillId="0" borderId="0" xfId="2" applyNumberFormat="1" applyFont="1"/>
    <xf numFmtId="168" fontId="7" fillId="2" borderId="1" xfId="2" applyNumberFormat="1" applyFont="1" applyFill="1" applyBorder="1" applyAlignment="1">
      <alignment horizontal="center" vertical="top"/>
    </xf>
    <xf numFmtId="168" fontId="1" fillId="0" borderId="0" xfId="7" applyNumberFormat="1" applyFont="1" applyAlignment="1">
      <alignment horizontal="center"/>
    </xf>
    <xf numFmtId="168" fontId="1" fillId="0" borderId="0" xfId="7" applyNumberFormat="1" applyFont="1"/>
    <xf numFmtId="168" fontId="7" fillId="2" borderId="1" xfId="2" applyNumberFormat="1" applyFont="1" applyFill="1" applyBorder="1" applyAlignment="1">
      <alignment horizontal="right" vertical="top"/>
    </xf>
    <xf numFmtId="168" fontId="1" fillId="0" borderId="0" xfId="7" applyNumberFormat="1" applyFont="1" applyAlignment="1">
      <alignment horizontal="right"/>
    </xf>
    <xf numFmtId="168" fontId="8" fillId="0" borderId="0" xfId="2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164" fontId="8" fillId="0" borderId="0" xfId="3" applyNumberFormat="1" applyFont="1" applyAlignment="1">
      <alignment horizontal="center"/>
    </xf>
    <xf numFmtId="3" fontId="7" fillId="2" borderId="1" xfId="2" applyNumberFormat="1" applyFont="1" applyFill="1" applyBorder="1" applyAlignment="1">
      <alignment horizontal="center" vertical="top"/>
    </xf>
    <xf numFmtId="3" fontId="1" fillId="0" borderId="0" xfId="0" applyNumberFormat="1" applyFont="1"/>
    <xf numFmtId="0" fontId="7" fillId="9" borderId="5" xfId="2" applyFont="1" applyFill="1" applyBorder="1" applyAlignment="1">
      <alignment horizontal="centerContinuous"/>
    </xf>
    <xf numFmtId="4" fontId="8" fillId="0" borderId="0" xfId="2" applyNumberFormat="1" applyFont="1" applyAlignment="1">
      <alignment horizontal="center"/>
    </xf>
    <xf numFmtId="2" fontId="5" fillId="0" borderId="0" xfId="2" applyNumberFormat="1" applyFont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8" borderId="3" xfId="2" applyFont="1" applyFill="1" applyBorder="1" applyAlignment="1">
      <alignment horizontal="center" vertical="center" textRotation="90"/>
    </xf>
    <xf numFmtId="0" fontId="7" fillId="8" borderId="6" xfId="2" applyFont="1" applyFill="1" applyBorder="1" applyAlignment="1">
      <alignment horizontal="center" vertical="center" textRotation="90"/>
    </xf>
    <xf numFmtId="0" fontId="7" fillId="8" borderId="4" xfId="2" applyFont="1" applyFill="1" applyBorder="1" applyAlignment="1">
      <alignment horizontal="center" vertical="center" textRotation="90"/>
    </xf>
  </cellXfs>
  <cellStyles count="8">
    <cellStyle name="Comma" xfId="1" builtinId="3"/>
    <cellStyle name="Comma 2" xfId="3" xr:uid="{00000000-0005-0000-0000-000001000000}"/>
    <cellStyle name="Comma 3" xfId="5" xr:uid="{8DBEFE58-B67D-473F-B4A8-3E226BB231A0}"/>
    <cellStyle name="Normal" xfId="0" builtinId="0"/>
    <cellStyle name="Normal 2" xfId="2" xr:uid="{00000000-0005-0000-0000-000003000000}"/>
    <cellStyle name="Normal 3" xfId="7" xr:uid="{9B1BF7C1-4F5B-4D81-91E1-405E9F444A3A}"/>
    <cellStyle name="Normal_EMPLOYEE_FunctionPractice" xfId="6" xr:uid="{C78F20AF-55B8-48E9-9C6A-EF62D929BEEB}"/>
    <cellStyle name="Percent 2" xfId="4" xr:uid="{00000000-0005-0000-0000-000006000000}"/>
  </cellStyles>
  <dxfs count="0"/>
  <tableStyles count="0" defaultTableStyle="TableStyleMedium2" defaultPivotStyle="PivotStyleLight16"/>
  <colors>
    <mruColors>
      <color rgb="FFCCFFCC"/>
      <color rgb="FFCCECFF"/>
      <color rgb="FFFFFFCC"/>
      <color rgb="FFFF99FF"/>
      <color rgb="FF66FFFF"/>
      <color rgb="FF00FF00"/>
      <color rgb="FF99FF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11</xdr:col>
      <xdr:colOff>318123</xdr:colOff>
      <xdr:row>26</xdr:row>
      <xdr:rowOff>53602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A137B9E-0089-4C5D-85F4-0C190CB81023}"/>
            </a:ext>
          </a:extLst>
        </xdr:cNvPr>
        <xdr:cNvSpPr/>
      </xdr:nvSpPr>
      <xdr:spPr>
        <a:xfrm>
          <a:off x="3421481" y="3068053"/>
          <a:ext cx="6308846" cy="16778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The differences between XMATCH and MATCH</a:t>
          </a:r>
          <a:endParaRPr lang="en-US" sz="1200" b="1" i="0" u="none" strike="noStrike">
            <a:solidFill>
              <a:sysClr val="windowText" lastClr="000000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defaults to an exact match, while MATCH defaults to an approximate match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can find the next larger item or the next smaller item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can perform a reverse search (i.e. search from last to first)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does not require values to be sorted when performing an approximate match</a:t>
          </a:r>
        </a:p>
        <a:p>
          <a:endParaRPr lang="en-US" sz="1200" b="0" i="0">
            <a:solidFill>
              <a:sysClr val="windowText" lastClr="000000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MATCH can perform a case sensitive exact match (on any list) by combining it with EXACT 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 can only perform a case sensitive exact match WHEN THE LIST IS SORTED.</a:t>
          </a:r>
        </a:p>
        <a:p>
          <a:pPr algn="l"/>
          <a:endParaRPr lang="en-US" sz="1200" kern="1200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yndaCom\FullGeneral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N"/>
      <sheetName val="RANK"/>
      <sheetName val="ARRAY "/>
      <sheetName val="BLANKS"/>
      <sheetName val="MultiFieldData"/>
      <sheetName val="HR List with Duplicates"/>
      <sheetName val="ProjBudget2010"/>
      <sheetName val="AutoFill"/>
      <sheetName val="Arrays"/>
      <sheetName val="Profits"/>
      <sheetName val="Form"/>
      <sheetName val="TaxDep"/>
      <sheetName val="Lookups"/>
      <sheetName val="TwoWayLookup"/>
      <sheetName val="IndexMatch"/>
      <sheetName val="MasterSSList"/>
      <sheetName val="AutoSum"/>
      <sheetName val="Hyperlinks"/>
      <sheetName val="DataValidation"/>
      <sheetName val="MixedNames"/>
      <sheetName val="FindFormulas"/>
      <sheetName val="MissingTitles"/>
      <sheetName val="Rounding"/>
      <sheetName val="GoalSeek"/>
      <sheetName val="Solver"/>
      <sheetName val="Scenarios"/>
      <sheetName val="MostCommonNamesInUS"/>
      <sheetName val="WellData"/>
      <sheetName val="FifthLineFormatting"/>
      <sheetName val="Time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Excellent</v>
          </cell>
          <cell r="B2">
            <v>99</v>
          </cell>
        </row>
        <row r="3">
          <cell r="A3" t="str">
            <v>Very Good</v>
          </cell>
          <cell r="B3">
            <v>92</v>
          </cell>
        </row>
        <row r="4">
          <cell r="A4" t="str">
            <v>Good</v>
          </cell>
          <cell r="B4">
            <v>85</v>
          </cell>
        </row>
        <row r="5">
          <cell r="A5" t="str">
            <v>Satisfactory</v>
          </cell>
          <cell r="B5">
            <v>78</v>
          </cell>
        </row>
        <row r="6">
          <cell r="A6" t="str">
            <v>Fair</v>
          </cell>
          <cell r="B6">
            <v>71</v>
          </cell>
        </row>
        <row r="7">
          <cell r="A7" t="str">
            <v>Poor</v>
          </cell>
          <cell r="B7">
            <v>65</v>
          </cell>
        </row>
        <row r="8">
          <cell r="A8" t="str">
            <v>Fail</v>
          </cell>
          <cell r="B8">
            <v>50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G5">
            <v>14805.000000000002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L207"/>
  <sheetViews>
    <sheetView zoomScale="160" zoomScaleNormal="160" zoomScalePageLayoutView="145" workbookViewId="0">
      <selection activeCell="H2" sqref="H2"/>
    </sheetView>
  </sheetViews>
  <sheetFormatPr defaultColWidth="9.109375" defaultRowHeight="14.4" x14ac:dyDescent="0.3"/>
  <cols>
    <col min="1" max="1" width="13.44140625" style="14" customWidth="1"/>
    <col min="2" max="2" width="5.5546875" style="37" bestFit="1" customWidth="1"/>
    <col min="3" max="3" width="5.5546875" style="13" customWidth="1"/>
    <col min="4" max="4" width="8.44140625" style="41" bestFit="1" customWidth="1"/>
    <col min="5" max="5" width="6.44140625" style="14" customWidth="1"/>
    <col min="6" max="6" width="2.5546875" style="14" customWidth="1"/>
    <col min="7" max="7" width="5.5546875" style="14" bestFit="1" customWidth="1"/>
    <col min="8" max="8" width="20.44140625" style="14" customWidth="1"/>
    <col min="9" max="9" width="30.88671875" style="14" customWidth="1"/>
    <col min="10" max="10" width="3.88671875" style="14" customWidth="1"/>
    <col min="11" max="12" width="14.33203125" style="14" customWidth="1"/>
    <col min="13" max="16384" width="9.109375" style="14"/>
  </cols>
  <sheetData>
    <row r="1" spans="1:12" x14ac:dyDescent="0.3">
      <c r="A1" s="11" t="s">
        <v>825</v>
      </c>
      <c r="B1" s="32" t="s">
        <v>856</v>
      </c>
      <c r="C1" s="12" t="s">
        <v>831</v>
      </c>
      <c r="D1" s="40" t="s">
        <v>768</v>
      </c>
      <c r="E1" s="12" t="s">
        <v>748</v>
      </c>
      <c r="F1" s="39"/>
      <c r="G1" s="35" t="s">
        <v>856</v>
      </c>
      <c r="H1"/>
      <c r="K1" s="15"/>
      <c r="L1" s="15"/>
    </row>
    <row r="2" spans="1:12" x14ac:dyDescent="0.3">
      <c r="A2" s="14" t="s">
        <v>577</v>
      </c>
      <c r="B2" s="36">
        <v>2935</v>
      </c>
      <c r="C2" s="13">
        <v>556</v>
      </c>
      <c r="D2" s="38">
        <v>50760</v>
      </c>
      <c r="E2" s="39" t="s">
        <v>752</v>
      </c>
      <c r="F2" s="39"/>
      <c r="G2" s="34">
        <v>4027</v>
      </c>
      <c r="H2" s="45">
        <f>IFERROR(MATCH(G2,B:B,0),"NA")</f>
        <v>6</v>
      </c>
      <c r="K2" s="15"/>
      <c r="L2" s="15"/>
    </row>
    <row r="3" spans="1:12" x14ac:dyDescent="0.3">
      <c r="A3" s="14" t="s">
        <v>158</v>
      </c>
      <c r="B3" s="36">
        <v>6712</v>
      </c>
      <c r="C3" s="13">
        <v>194</v>
      </c>
      <c r="D3" s="38">
        <v>84598</v>
      </c>
      <c r="E3" s="39" t="s">
        <v>750</v>
      </c>
      <c r="F3" s="39"/>
      <c r="G3" s="36">
        <v>3741</v>
      </c>
      <c r="H3" s="45" t="str">
        <f t="shared" ref="H3:H9" si="0">IFERROR(MATCH(G3,B:B,0),"NA")</f>
        <v>NA</v>
      </c>
      <c r="K3" s="15"/>
      <c r="L3" s="15"/>
    </row>
    <row r="4" spans="1:12" x14ac:dyDescent="0.3">
      <c r="A4" s="14" t="s">
        <v>832</v>
      </c>
      <c r="B4" s="36">
        <v>3823</v>
      </c>
      <c r="C4" s="13">
        <v>253</v>
      </c>
      <c r="D4" s="38">
        <v>62273</v>
      </c>
      <c r="E4" s="39" t="s">
        <v>752</v>
      </c>
      <c r="F4" s="39"/>
      <c r="G4" s="34">
        <v>7996</v>
      </c>
      <c r="H4" s="45" t="str">
        <f t="shared" si="0"/>
        <v>NA</v>
      </c>
      <c r="K4" s="15"/>
      <c r="L4" s="15"/>
    </row>
    <row r="5" spans="1:12" x14ac:dyDescent="0.3">
      <c r="A5" s="14" t="s">
        <v>230</v>
      </c>
      <c r="B5" s="36">
        <v>4758</v>
      </c>
      <c r="C5" s="13">
        <v>310</v>
      </c>
      <c r="D5" s="38">
        <v>84273</v>
      </c>
      <c r="E5" s="39" t="s">
        <v>753</v>
      </c>
      <c r="F5" s="39"/>
      <c r="G5" s="14">
        <v>2117</v>
      </c>
      <c r="H5" s="45">
        <f t="shared" si="0"/>
        <v>27</v>
      </c>
      <c r="K5" s="15"/>
      <c r="L5" s="15"/>
    </row>
    <row r="6" spans="1:12" x14ac:dyDescent="0.3">
      <c r="A6" s="14" t="s">
        <v>767</v>
      </c>
      <c r="B6" s="36">
        <v>4027</v>
      </c>
      <c r="C6" s="13">
        <v>703</v>
      </c>
      <c r="D6" s="38">
        <v>97694</v>
      </c>
      <c r="E6" s="39" t="s">
        <v>749</v>
      </c>
      <c r="F6" s="39"/>
      <c r="G6" s="14">
        <v>8386</v>
      </c>
      <c r="H6" s="45">
        <f t="shared" si="0"/>
        <v>9</v>
      </c>
    </row>
    <row r="7" spans="1:12" x14ac:dyDescent="0.3">
      <c r="A7" s="14" t="s">
        <v>638</v>
      </c>
      <c r="B7" s="36">
        <v>1701</v>
      </c>
      <c r="C7" s="13">
        <v>349</v>
      </c>
      <c r="D7" s="38">
        <v>79158</v>
      </c>
      <c r="E7" s="39" t="s">
        <v>753</v>
      </c>
      <c r="F7" s="39"/>
      <c r="G7" s="14">
        <v>8345</v>
      </c>
      <c r="H7" s="45" t="str">
        <f t="shared" si="0"/>
        <v>NA</v>
      </c>
    </row>
    <row r="8" spans="1:12" x14ac:dyDescent="0.3">
      <c r="A8" s="14" t="s">
        <v>499</v>
      </c>
      <c r="B8" s="36">
        <v>8184</v>
      </c>
      <c r="C8" s="13">
        <v>147</v>
      </c>
      <c r="D8" s="38">
        <v>111638</v>
      </c>
      <c r="E8" s="39" t="s">
        <v>749</v>
      </c>
      <c r="F8" s="39"/>
      <c r="G8" s="34">
        <v>4633</v>
      </c>
      <c r="H8" s="45">
        <f t="shared" si="0"/>
        <v>188</v>
      </c>
    </row>
    <row r="9" spans="1:12" x14ac:dyDescent="0.3">
      <c r="A9" s="14" t="s">
        <v>154</v>
      </c>
      <c r="B9" s="36">
        <v>8386</v>
      </c>
      <c r="C9" s="13">
        <v>982</v>
      </c>
      <c r="D9" s="38">
        <v>57070</v>
      </c>
      <c r="E9" s="39" t="s">
        <v>752</v>
      </c>
      <c r="F9" s="39"/>
      <c r="G9" s="34">
        <v>7986</v>
      </c>
      <c r="H9" s="45">
        <f t="shared" si="0"/>
        <v>14</v>
      </c>
    </row>
    <row r="10" spans="1:12" x14ac:dyDescent="0.3">
      <c r="A10" s="14" t="s">
        <v>398</v>
      </c>
      <c r="B10" s="36">
        <v>8004</v>
      </c>
      <c r="C10" s="13">
        <v>805</v>
      </c>
      <c r="D10" s="38">
        <v>111762</v>
      </c>
      <c r="E10" s="39" t="s">
        <v>753</v>
      </c>
      <c r="F10" s="39"/>
      <c r="H10"/>
    </row>
    <row r="11" spans="1:12" x14ac:dyDescent="0.3">
      <c r="A11" s="14" t="s">
        <v>522</v>
      </c>
      <c r="B11" s="36">
        <v>5399</v>
      </c>
      <c r="C11" s="13">
        <v>344</v>
      </c>
      <c r="D11" s="38">
        <v>74933</v>
      </c>
      <c r="E11" s="39" t="s">
        <v>749</v>
      </c>
      <c r="F11" s="39"/>
    </row>
    <row r="12" spans="1:12" x14ac:dyDescent="0.3">
      <c r="A12" s="14" t="s">
        <v>449</v>
      </c>
      <c r="B12" s="36">
        <v>5468</v>
      </c>
      <c r="C12" s="13">
        <v>342</v>
      </c>
      <c r="D12" s="38">
        <v>80700</v>
      </c>
      <c r="E12" s="39" t="s">
        <v>755</v>
      </c>
      <c r="F12" s="39"/>
    </row>
    <row r="13" spans="1:12" x14ac:dyDescent="0.3">
      <c r="A13" s="14" t="s">
        <v>1362</v>
      </c>
      <c r="B13" s="36">
        <v>7091</v>
      </c>
      <c r="C13" s="13">
        <v>597</v>
      </c>
      <c r="D13" s="38">
        <v>46130</v>
      </c>
      <c r="E13" s="39" t="s">
        <v>753</v>
      </c>
      <c r="F13" s="39"/>
      <c r="H13" s="33"/>
      <c r="I13" s="13"/>
    </row>
    <row r="14" spans="1:12" x14ac:dyDescent="0.3">
      <c r="A14" s="14" t="s">
        <v>1361</v>
      </c>
      <c r="B14" s="36">
        <v>7986</v>
      </c>
      <c r="C14" s="13">
        <v>207</v>
      </c>
      <c r="D14" s="38">
        <v>93474</v>
      </c>
      <c r="E14" s="39" t="s">
        <v>753</v>
      </c>
      <c r="F14" s="39"/>
      <c r="H14" s="33"/>
      <c r="I14" s="13"/>
    </row>
    <row r="15" spans="1:12" x14ac:dyDescent="0.3">
      <c r="A15" s="14" t="s">
        <v>452</v>
      </c>
      <c r="B15" s="36">
        <v>8982</v>
      </c>
      <c r="C15" s="13">
        <v>313</v>
      </c>
      <c r="D15" s="38">
        <v>97420</v>
      </c>
      <c r="E15" s="39" t="s">
        <v>749</v>
      </c>
      <c r="F15" s="39"/>
    </row>
    <row r="16" spans="1:12" x14ac:dyDescent="0.3">
      <c r="A16" s="14" t="s">
        <v>579</v>
      </c>
      <c r="B16" s="36">
        <v>4737</v>
      </c>
      <c r="C16" s="13">
        <v>136</v>
      </c>
      <c r="D16" s="38">
        <v>105708</v>
      </c>
      <c r="E16" s="39" t="s">
        <v>751</v>
      </c>
      <c r="F16" s="39"/>
    </row>
    <row r="17" spans="1:6" x14ac:dyDescent="0.3">
      <c r="A17" s="14" t="s">
        <v>593</v>
      </c>
      <c r="B17" s="36">
        <v>2468</v>
      </c>
      <c r="C17" s="13">
        <v>645</v>
      </c>
      <c r="D17" s="38">
        <v>55792</v>
      </c>
      <c r="E17" s="39" t="s">
        <v>749</v>
      </c>
      <c r="F17" s="39"/>
    </row>
    <row r="18" spans="1:6" x14ac:dyDescent="0.3">
      <c r="A18" s="14" t="s">
        <v>1</v>
      </c>
      <c r="B18" s="36">
        <v>3153</v>
      </c>
      <c r="C18" s="13">
        <v>974</v>
      </c>
      <c r="D18" s="38">
        <v>115076</v>
      </c>
      <c r="E18" s="39" t="s">
        <v>754</v>
      </c>
      <c r="F18" s="39"/>
    </row>
    <row r="19" spans="1:6" x14ac:dyDescent="0.3">
      <c r="A19" s="14" t="s">
        <v>3</v>
      </c>
      <c r="B19" s="36">
        <v>6036</v>
      </c>
      <c r="C19" s="13">
        <v>527</v>
      </c>
      <c r="D19" s="38">
        <v>83609</v>
      </c>
      <c r="E19" s="39" t="s">
        <v>752</v>
      </c>
      <c r="F19" s="39"/>
    </row>
    <row r="20" spans="1:6" x14ac:dyDescent="0.3">
      <c r="A20" s="14" t="s">
        <v>19</v>
      </c>
      <c r="B20" s="36">
        <v>2223</v>
      </c>
      <c r="C20" s="13">
        <v>685</v>
      </c>
      <c r="D20" s="38">
        <v>46313</v>
      </c>
      <c r="E20" s="39" t="s">
        <v>751</v>
      </c>
      <c r="F20" s="39"/>
    </row>
    <row r="21" spans="1:6" x14ac:dyDescent="0.3">
      <c r="A21" s="14" t="s">
        <v>224</v>
      </c>
      <c r="B21" s="36">
        <v>5313</v>
      </c>
      <c r="C21" s="13">
        <v>483</v>
      </c>
      <c r="D21" s="38">
        <v>108854</v>
      </c>
      <c r="E21" s="39" t="s">
        <v>752</v>
      </c>
      <c r="F21" s="39"/>
    </row>
    <row r="22" spans="1:6" x14ac:dyDescent="0.3">
      <c r="A22" s="14" t="s">
        <v>829</v>
      </c>
      <c r="B22" s="36">
        <v>5994</v>
      </c>
      <c r="C22" s="13">
        <v>548</v>
      </c>
      <c r="D22" s="38">
        <v>94318</v>
      </c>
      <c r="E22" s="39" t="s">
        <v>751</v>
      </c>
      <c r="F22" s="39"/>
    </row>
    <row r="23" spans="1:6" x14ac:dyDescent="0.3">
      <c r="A23" s="14" t="s">
        <v>275</v>
      </c>
      <c r="B23" s="36">
        <v>6953</v>
      </c>
      <c r="C23" s="13">
        <v>551</v>
      </c>
      <c r="D23" s="38">
        <v>78034</v>
      </c>
      <c r="E23" s="39" t="s">
        <v>753</v>
      </c>
      <c r="F23" s="39"/>
    </row>
    <row r="24" spans="1:6" x14ac:dyDescent="0.3">
      <c r="A24" s="14" t="s">
        <v>262</v>
      </c>
      <c r="B24" s="36">
        <v>3685</v>
      </c>
      <c r="C24" s="13">
        <v>655</v>
      </c>
      <c r="D24" s="38">
        <v>121631</v>
      </c>
      <c r="E24" s="39" t="s">
        <v>752</v>
      </c>
      <c r="F24" s="39"/>
    </row>
    <row r="25" spans="1:6" x14ac:dyDescent="0.3">
      <c r="A25" s="14" t="s">
        <v>505</v>
      </c>
      <c r="B25" s="36">
        <v>8662</v>
      </c>
      <c r="C25" s="13">
        <v>305</v>
      </c>
      <c r="D25" s="38">
        <v>53834</v>
      </c>
      <c r="E25" s="39" t="s">
        <v>750</v>
      </c>
      <c r="F25" s="39"/>
    </row>
    <row r="26" spans="1:6" x14ac:dyDescent="0.3">
      <c r="A26" s="14" t="s">
        <v>28</v>
      </c>
      <c r="B26" s="36">
        <v>3656</v>
      </c>
      <c r="C26" s="13">
        <v>512</v>
      </c>
      <c r="D26" s="38">
        <v>119223</v>
      </c>
      <c r="E26" s="39" t="s">
        <v>753</v>
      </c>
      <c r="F26" s="39"/>
    </row>
    <row r="27" spans="1:6" x14ac:dyDescent="0.3">
      <c r="A27" s="14" t="s">
        <v>222</v>
      </c>
      <c r="B27" s="36">
        <v>2117</v>
      </c>
      <c r="C27" s="13">
        <v>211</v>
      </c>
      <c r="D27" s="38">
        <v>86756</v>
      </c>
      <c r="E27" s="39" t="s">
        <v>749</v>
      </c>
      <c r="F27" s="39"/>
    </row>
    <row r="28" spans="1:6" x14ac:dyDescent="0.3">
      <c r="A28" s="14" t="s">
        <v>570</v>
      </c>
      <c r="B28" s="36">
        <v>6137</v>
      </c>
      <c r="C28" s="13">
        <v>552</v>
      </c>
      <c r="D28" s="38">
        <v>74412</v>
      </c>
      <c r="E28" s="39" t="s">
        <v>753</v>
      </c>
      <c r="F28" s="39"/>
    </row>
    <row r="29" spans="1:6" x14ac:dyDescent="0.3">
      <c r="A29" s="14" t="s">
        <v>521</v>
      </c>
      <c r="B29" s="36">
        <v>4460</v>
      </c>
      <c r="C29" s="13">
        <v>443</v>
      </c>
      <c r="D29" s="38">
        <v>79867</v>
      </c>
      <c r="E29" s="39" t="s">
        <v>753</v>
      </c>
      <c r="F29" s="39"/>
    </row>
    <row r="30" spans="1:6" x14ac:dyDescent="0.3">
      <c r="A30" s="14" t="s">
        <v>395</v>
      </c>
      <c r="B30" s="36">
        <v>3313</v>
      </c>
      <c r="C30" s="13">
        <v>540</v>
      </c>
      <c r="D30" s="38">
        <v>84524</v>
      </c>
      <c r="E30" s="39" t="s">
        <v>753</v>
      </c>
      <c r="F30" s="39"/>
    </row>
    <row r="31" spans="1:6" x14ac:dyDescent="0.3">
      <c r="A31" s="14" t="s">
        <v>830</v>
      </c>
      <c r="B31" s="36">
        <v>3742</v>
      </c>
      <c r="C31" s="13">
        <v>534</v>
      </c>
      <c r="D31" s="38">
        <v>107090</v>
      </c>
      <c r="E31" s="39" t="s">
        <v>754</v>
      </c>
      <c r="F31" s="39"/>
    </row>
    <row r="32" spans="1:6" x14ac:dyDescent="0.3">
      <c r="A32" s="14" t="s">
        <v>126</v>
      </c>
      <c r="B32" s="36">
        <v>4871</v>
      </c>
      <c r="C32" s="13">
        <v>993</v>
      </c>
      <c r="D32" s="38">
        <v>61979</v>
      </c>
      <c r="E32" s="39" t="s">
        <v>754</v>
      </c>
      <c r="F32" s="39"/>
    </row>
    <row r="33" spans="1:6" x14ac:dyDescent="0.3">
      <c r="A33" s="14" t="s">
        <v>6</v>
      </c>
      <c r="B33" s="36">
        <v>3710</v>
      </c>
      <c r="C33" s="13">
        <v>130</v>
      </c>
      <c r="D33" s="38">
        <v>110448</v>
      </c>
      <c r="E33" s="39" t="s">
        <v>752</v>
      </c>
      <c r="F33" s="39"/>
    </row>
    <row r="34" spans="1:6" x14ac:dyDescent="0.3">
      <c r="A34" s="14" t="s">
        <v>348</v>
      </c>
      <c r="B34" s="36">
        <v>1751</v>
      </c>
      <c r="C34" s="13">
        <v>915</v>
      </c>
      <c r="D34" s="38">
        <v>101758</v>
      </c>
      <c r="E34" s="39" t="s">
        <v>752</v>
      </c>
      <c r="F34" s="39"/>
    </row>
    <row r="35" spans="1:6" x14ac:dyDescent="0.3">
      <c r="A35" s="14" t="s">
        <v>494</v>
      </c>
      <c r="B35" s="36">
        <v>6438</v>
      </c>
      <c r="C35" s="13">
        <v>365</v>
      </c>
      <c r="D35" s="38">
        <v>98770</v>
      </c>
      <c r="E35" s="39" t="s">
        <v>753</v>
      </c>
      <c r="F35" s="39"/>
    </row>
    <row r="36" spans="1:6" x14ac:dyDescent="0.3">
      <c r="A36" s="14" t="s">
        <v>828</v>
      </c>
      <c r="B36" s="36">
        <v>3803</v>
      </c>
      <c r="C36" s="13">
        <v>334</v>
      </c>
      <c r="D36" s="38">
        <v>100248</v>
      </c>
      <c r="E36" s="39" t="s">
        <v>749</v>
      </c>
      <c r="F36" s="39"/>
    </row>
    <row r="37" spans="1:6" x14ac:dyDescent="0.3">
      <c r="A37" s="14" t="s">
        <v>17</v>
      </c>
      <c r="B37" s="36">
        <v>6514</v>
      </c>
      <c r="C37" s="13">
        <v>326</v>
      </c>
      <c r="D37" s="38">
        <v>68370</v>
      </c>
      <c r="E37" s="39" t="s">
        <v>750</v>
      </c>
      <c r="F37" s="39"/>
    </row>
    <row r="38" spans="1:6" x14ac:dyDescent="0.3">
      <c r="A38" s="14" t="s">
        <v>188</v>
      </c>
      <c r="B38" s="36">
        <v>7037</v>
      </c>
      <c r="C38" s="13">
        <v>508</v>
      </c>
      <c r="D38" s="38">
        <v>52504</v>
      </c>
      <c r="E38" s="39" t="s">
        <v>749</v>
      </c>
      <c r="F38" s="39"/>
    </row>
    <row r="39" spans="1:6" x14ac:dyDescent="0.3">
      <c r="A39" s="14" t="s">
        <v>8</v>
      </c>
      <c r="B39" s="36">
        <v>4719</v>
      </c>
      <c r="C39" s="13">
        <v>450</v>
      </c>
      <c r="D39" s="38">
        <v>47140</v>
      </c>
      <c r="E39" s="39" t="s">
        <v>755</v>
      </c>
      <c r="F39" s="39"/>
    </row>
    <row r="40" spans="1:6" x14ac:dyDescent="0.3">
      <c r="A40" s="14" t="s">
        <v>185</v>
      </c>
      <c r="B40" s="36">
        <v>2775</v>
      </c>
      <c r="C40" s="13">
        <v>344</v>
      </c>
      <c r="D40" s="38">
        <v>100874</v>
      </c>
      <c r="E40" s="39" t="s">
        <v>755</v>
      </c>
      <c r="F40" s="39"/>
    </row>
    <row r="41" spans="1:6" x14ac:dyDescent="0.3">
      <c r="A41" s="14" t="s">
        <v>461</v>
      </c>
      <c r="B41" s="36">
        <v>2916</v>
      </c>
      <c r="C41" s="13">
        <v>184</v>
      </c>
      <c r="D41" s="38">
        <v>59380</v>
      </c>
      <c r="E41" s="39" t="s">
        <v>753</v>
      </c>
      <c r="F41" s="39"/>
    </row>
    <row r="42" spans="1:6" x14ac:dyDescent="0.3">
      <c r="A42" s="14" t="s">
        <v>619</v>
      </c>
      <c r="B42" s="36">
        <v>8984</v>
      </c>
      <c r="C42" s="13">
        <v>818</v>
      </c>
      <c r="D42" s="38">
        <v>59840</v>
      </c>
      <c r="E42" s="39" t="s">
        <v>753</v>
      </c>
      <c r="F42" s="39"/>
    </row>
    <row r="43" spans="1:6" x14ac:dyDescent="0.3">
      <c r="A43" s="14" t="s">
        <v>296</v>
      </c>
      <c r="B43" s="36">
        <v>3376</v>
      </c>
      <c r="C43" s="13">
        <v>461</v>
      </c>
      <c r="D43" s="38">
        <v>73326</v>
      </c>
      <c r="E43" s="39" t="s">
        <v>749</v>
      </c>
      <c r="F43" s="39"/>
    </row>
    <row r="44" spans="1:6" x14ac:dyDescent="0.3">
      <c r="A44" s="14" t="s">
        <v>475</v>
      </c>
      <c r="B44" s="36">
        <v>6874</v>
      </c>
      <c r="C44" s="13">
        <v>496</v>
      </c>
      <c r="D44" s="38">
        <v>111686</v>
      </c>
      <c r="E44" s="39" t="s">
        <v>752</v>
      </c>
      <c r="F44" s="39"/>
    </row>
    <row r="45" spans="1:6" x14ac:dyDescent="0.3">
      <c r="A45" s="14" t="s">
        <v>96</v>
      </c>
      <c r="B45" s="36">
        <v>8276</v>
      </c>
      <c r="C45" s="13">
        <v>234</v>
      </c>
      <c r="D45" s="38">
        <v>118791</v>
      </c>
      <c r="E45" s="39" t="s">
        <v>753</v>
      </c>
      <c r="F45" s="39"/>
    </row>
    <row r="46" spans="1:6" x14ac:dyDescent="0.3">
      <c r="A46" s="14" t="s">
        <v>827</v>
      </c>
      <c r="B46" s="36">
        <v>4224</v>
      </c>
      <c r="C46" s="13">
        <v>365</v>
      </c>
      <c r="D46" s="38">
        <v>55164</v>
      </c>
      <c r="E46" s="39" t="s">
        <v>753</v>
      </c>
      <c r="F46" s="39"/>
    </row>
    <row r="47" spans="1:6" x14ac:dyDescent="0.3">
      <c r="A47" s="14" t="s">
        <v>214</v>
      </c>
      <c r="B47" s="36">
        <v>4209</v>
      </c>
      <c r="C47" s="13">
        <v>347</v>
      </c>
      <c r="D47" s="38">
        <v>51435</v>
      </c>
      <c r="E47" s="39" t="s">
        <v>754</v>
      </c>
      <c r="F47" s="39"/>
    </row>
    <row r="48" spans="1:6" x14ac:dyDescent="0.3">
      <c r="A48" s="14" t="s">
        <v>191</v>
      </c>
      <c r="B48" s="36">
        <v>2222</v>
      </c>
      <c r="C48" s="13">
        <v>901</v>
      </c>
      <c r="D48" s="38">
        <v>97490</v>
      </c>
      <c r="E48" s="39" t="s">
        <v>750</v>
      </c>
      <c r="F48" s="39"/>
    </row>
    <row r="49" spans="1:6" x14ac:dyDescent="0.3">
      <c r="A49" s="14" t="s">
        <v>153</v>
      </c>
      <c r="B49" s="36">
        <v>4734</v>
      </c>
      <c r="C49" s="13">
        <v>624</v>
      </c>
      <c r="D49" s="38">
        <v>107099</v>
      </c>
      <c r="E49" s="39" t="s">
        <v>754</v>
      </c>
      <c r="F49" s="39"/>
    </row>
    <row r="50" spans="1:6" x14ac:dyDescent="0.3">
      <c r="A50" s="14" t="s">
        <v>325</v>
      </c>
      <c r="B50" s="36">
        <v>4401</v>
      </c>
      <c r="C50" s="13">
        <v>595</v>
      </c>
      <c r="D50" s="38">
        <v>69464</v>
      </c>
      <c r="E50" s="39" t="s">
        <v>754</v>
      </c>
      <c r="F50" s="39"/>
    </row>
    <row r="51" spans="1:6" x14ac:dyDescent="0.3">
      <c r="A51" s="14" t="s">
        <v>633</v>
      </c>
      <c r="B51" s="36">
        <v>7630</v>
      </c>
      <c r="C51" s="13">
        <v>714</v>
      </c>
      <c r="D51" s="38">
        <v>84796</v>
      </c>
      <c r="E51" s="39" t="s">
        <v>750</v>
      </c>
      <c r="F51" s="39"/>
    </row>
    <row r="52" spans="1:6" x14ac:dyDescent="0.3">
      <c r="A52" s="14" t="s">
        <v>336</v>
      </c>
      <c r="B52" s="36">
        <v>4001</v>
      </c>
      <c r="C52" s="13">
        <v>770</v>
      </c>
      <c r="D52" s="38">
        <v>111472</v>
      </c>
      <c r="E52" s="39" t="s">
        <v>751</v>
      </c>
      <c r="F52" s="39"/>
    </row>
    <row r="53" spans="1:6" x14ac:dyDescent="0.3">
      <c r="A53" s="14" t="s">
        <v>439</v>
      </c>
      <c r="B53" s="36">
        <v>7957</v>
      </c>
      <c r="C53" s="13">
        <v>711</v>
      </c>
      <c r="D53" s="38">
        <v>43558</v>
      </c>
      <c r="E53" s="39" t="s">
        <v>749</v>
      </c>
      <c r="F53" s="39"/>
    </row>
    <row r="54" spans="1:6" x14ac:dyDescent="0.3">
      <c r="A54" s="14" t="s">
        <v>609</v>
      </c>
      <c r="B54" s="36">
        <v>3454</v>
      </c>
      <c r="C54" s="13">
        <v>438</v>
      </c>
      <c r="D54" s="38">
        <v>122616</v>
      </c>
      <c r="E54" s="39" t="s">
        <v>752</v>
      </c>
      <c r="F54" s="39"/>
    </row>
    <row r="55" spans="1:6" x14ac:dyDescent="0.3">
      <c r="A55" s="14" t="s">
        <v>427</v>
      </c>
      <c r="B55" s="36">
        <v>4562</v>
      </c>
      <c r="C55" s="13">
        <v>453</v>
      </c>
      <c r="D55" s="38">
        <v>72880</v>
      </c>
      <c r="E55" s="39" t="s">
        <v>755</v>
      </c>
      <c r="F55" s="39"/>
    </row>
    <row r="56" spans="1:6" x14ac:dyDescent="0.3">
      <c r="A56" s="14" t="s">
        <v>484</v>
      </c>
      <c r="B56" s="36">
        <v>7306</v>
      </c>
      <c r="C56" s="13">
        <v>415</v>
      </c>
      <c r="D56" s="38">
        <v>44395</v>
      </c>
      <c r="E56" s="39" t="s">
        <v>752</v>
      </c>
      <c r="F56" s="39"/>
    </row>
    <row r="57" spans="1:6" x14ac:dyDescent="0.3">
      <c r="A57" s="14" t="s">
        <v>179</v>
      </c>
      <c r="B57" s="36">
        <v>3643</v>
      </c>
      <c r="C57" s="13">
        <v>175</v>
      </c>
      <c r="D57" s="38">
        <v>46803</v>
      </c>
      <c r="E57" s="39" t="s">
        <v>755</v>
      </c>
      <c r="F57" s="39"/>
    </row>
    <row r="58" spans="1:6" x14ac:dyDescent="0.3">
      <c r="A58" s="14" t="s">
        <v>337</v>
      </c>
      <c r="B58" s="36">
        <v>8544</v>
      </c>
      <c r="C58" s="13">
        <v>307</v>
      </c>
      <c r="D58" s="38">
        <v>110697</v>
      </c>
      <c r="E58" s="39" t="s">
        <v>752</v>
      </c>
      <c r="F58" s="39"/>
    </row>
    <row r="59" spans="1:6" x14ac:dyDescent="0.3">
      <c r="A59" s="14" t="s">
        <v>82</v>
      </c>
      <c r="B59" s="36">
        <v>4487</v>
      </c>
      <c r="C59" s="13">
        <v>284</v>
      </c>
      <c r="D59" s="38">
        <v>71466</v>
      </c>
      <c r="E59" s="39" t="s">
        <v>754</v>
      </c>
      <c r="F59" s="39"/>
    </row>
    <row r="60" spans="1:6" x14ac:dyDescent="0.3">
      <c r="A60" s="14" t="s">
        <v>128</v>
      </c>
      <c r="B60" s="36">
        <v>4824</v>
      </c>
      <c r="C60" s="13">
        <v>129</v>
      </c>
      <c r="D60" s="38">
        <v>51250</v>
      </c>
      <c r="E60" s="39" t="s">
        <v>751</v>
      </c>
      <c r="F60" s="39"/>
    </row>
    <row r="61" spans="1:6" x14ac:dyDescent="0.3">
      <c r="A61" s="14" t="s">
        <v>564</v>
      </c>
      <c r="B61" s="36">
        <v>1905</v>
      </c>
      <c r="C61" s="13">
        <v>835</v>
      </c>
      <c r="D61" s="38">
        <v>76713</v>
      </c>
      <c r="E61" s="39" t="s">
        <v>750</v>
      </c>
      <c r="F61" s="39"/>
    </row>
    <row r="62" spans="1:6" x14ac:dyDescent="0.3">
      <c r="A62" s="14" t="s">
        <v>542</v>
      </c>
      <c r="B62" s="36">
        <v>3409</v>
      </c>
      <c r="C62" s="13">
        <v>369</v>
      </c>
      <c r="D62" s="38">
        <v>70171</v>
      </c>
      <c r="E62" s="39" t="s">
        <v>755</v>
      </c>
      <c r="F62" s="39"/>
    </row>
    <row r="63" spans="1:6" x14ac:dyDescent="0.3">
      <c r="A63" s="14" t="s">
        <v>226</v>
      </c>
      <c r="B63" s="36">
        <v>5267</v>
      </c>
      <c r="C63" s="13">
        <v>582</v>
      </c>
      <c r="D63" s="38">
        <v>97105</v>
      </c>
      <c r="E63" s="39" t="s">
        <v>755</v>
      </c>
      <c r="F63" s="39"/>
    </row>
    <row r="64" spans="1:6" x14ac:dyDescent="0.3">
      <c r="A64" s="14" t="s">
        <v>510</v>
      </c>
      <c r="B64" s="36">
        <v>4255</v>
      </c>
      <c r="C64" s="13">
        <v>392</v>
      </c>
      <c r="D64" s="38">
        <v>79550</v>
      </c>
      <c r="E64" s="39" t="s">
        <v>750</v>
      </c>
      <c r="F64" s="39"/>
    </row>
    <row r="65" spans="1:7" x14ac:dyDescent="0.3">
      <c r="A65" s="14" t="s">
        <v>492</v>
      </c>
      <c r="B65" s="36">
        <v>8495</v>
      </c>
      <c r="C65" s="13">
        <v>135</v>
      </c>
      <c r="D65" s="38">
        <v>85241</v>
      </c>
      <c r="E65" s="39" t="s">
        <v>751</v>
      </c>
      <c r="F65" s="39"/>
      <c r="G65" s="16"/>
    </row>
    <row r="66" spans="1:7" x14ac:dyDescent="0.3">
      <c r="A66" s="14" t="s">
        <v>172</v>
      </c>
      <c r="B66" s="36">
        <v>2010</v>
      </c>
      <c r="C66" s="13">
        <v>291</v>
      </c>
      <c r="D66" s="38">
        <v>102721</v>
      </c>
      <c r="E66" s="39" t="s">
        <v>749</v>
      </c>
      <c r="F66" s="39"/>
    </row>
    <row r="67" spans="1:7" x14ac:dyDescent="0.3">
      <c r="A67" s="14" t="s">
        <v>779</v>
      </c>
      <c r="B67" s="36">
        <v>8321</v>
      </c>
      <c r="C67" s="13">
        <v>421</v>
      </c>
      <c r="D67" s="38">
        <v>60764</v>
      </c>
      <c r="E67" s="39" t="s">
        <v>753</v>
      </c>
      <c r="F67" s="39"/>
    </row>
    <row r="68" spans="1:7" x14ac:dyDescent="0.3">
      <c r="A68" s="14" t="s">
        <v>471</v>
      </c>
      <c r="B68" s="36">
        <v>4804</v>
      </c>
      <c r="C68" s="13">
        <v>693</v>
      </c>
      <c r="D68" s="38">
        <v>110815</v>
      </c>
      <c r="E68" s="39" t="s">
        <v>750</v>
      </c>
      <c r="F68" s="39"/>
    </row>
    <row r="69" spans="1:7" x14ac:dyDescent="0.3">
      <c r="A69" s="14" t="s">
        <v>237</v>
      </c>
      <c r="B69" s="36">
        <v>8489</v>
      </c>
      <c r="C69" s="13">
        <v>567</v>
      </c>
      <c r="D69" s="38">
        <v>100072</v>
      </c>
      <c r="E69" s="39" t="s">
        <v>752</v>
      </c>
      <c r="F69" s="39"/>
    </row>
    <row r="70" spans="1:7" x14ac:dyDescent="0.3">
      <c r="A70" s="14" t="s">
        <v>613</v>
      </c>
      <c r="B70" s="36">
        <v>4553</v>
      </c>
      <c r="C70" s="13">
        <v>932</v>
      </c>
      <c r="D70" s="38">
        <v>54619</v>
      </c>
      <c r="E70" s="39" t="s">
        <v>750</v>
      </c>
      <c r="F70" s="39"/>
      <c r="G70" s="16"/>
    </row>
    <row r="71" spans="1:7" x14ac:dyDescent="0.3">
      <c r="A71" s="14" t="s">
        <v>341</v>
      </c>
      <c r="B71" s="36">
        <v>5579</v>
      </c>
      <c r="C71" s="13">
        <v>997</v>
      </c>
      <c r="D71" s="38">
        <v>65878</v>
      </c>
      <c r="E71" s="39" t="s">
        <v>750</v>
      </c>
      <c r="F71" s="39"/>
    </row>
    <row r="72" spans="1:7" x14ac:dyDescent="0.3">
      <c r="A72" s="14" t="s">
        <v>93</v>
      </c>
      <c r="B72" s="36">
        <v>3147</v>
      </c>
      <c r="C72" s="13">
        <v>430</v>
      </c>
      <c r="D72" s="38">
        <v>79913</v>
      </c>
      <c r="E72" s="39" t="s">
        <v>752</v>
      </c>
      <c r="F72" s="39"/>
    </row>
    <row r="73" spans="1:7" x14ac:dyDescent="0.3">
      <c r="A73" s="14" t="s">
        <v>238</v>
      </c>
      <c r="B73" s="36">
        <v>4017</v>
      </c>
      <c r="C73" s="13">
        <v>140</v>
      </c>
      <c r="D73" s="38">
        <v>54791</v>
      </c>
      <c r="E73" s="39" t="s">
        <v>749</v>
      </c>
      <c r="F73" s="39"/>
    </row>
    <row r="74" spans="1:7" x14ac:dyDescent="0.3">
      <c r="A74" s="14" t="s">
        <v>155</v>
      </c>
      <c r="B74" s="36">
        <v>3382</v>
      </c>
      <c r="C74" s="13">
        <v>746</v>
      </c>
      <c r="D74" s="38">
        <v>78162</v>
      </c>
      <c r="E74" s="39" t="s">
        <v>754</v>
      </c>
      <c r="F74" s="39"/>
    </row>
    <row r="75" spans="1:7" x14ac:dyDescent="0.3">
      <c r="A75" s="14" t="s">
        <v>469</v>
      </c>
      <c r="B75" s="36">
        <v>6393</v>
      </c>
      <c r="C75" s="13">
        <v>368</v>
      </c>
      <c r="D75" s="38">
        <v>43461</v>
      </c>
      <c r="E75" s="39" t="s">
        <v>752</v>
      </c>
      <c r="F75" s="39"/>
    </row>
    <row r="76" spans="1:7" x14ac:dyDescent="0.3">
      <c r="A76" s="14" t="s">
        <v>375</v>
      </c>
      <c r="B76" s="36">
        <v>6123</v>
      </c>
      <c r="C76" s="13">
        <v>731</v>
      </c>
      <c r="D76" s="38">
        <v>65258</v>
      </c>
      <c r="E76" s="39" t="s">
        <v>751</v>
      </c>
      <c r="F76" s="39"/>
    </row>
    <row r="77" spans="1:7" x14ac:dyDescent="0.3">
      <c r="A77" s="14" t="s">
        <v>111</v>
      </c>
      <c r="B77" s="36">
        <v>4166</v>
      </c>
      <c r="C77" s="13">
        <v>315</v>
      </c>
      <c r="D77" s="38">
        <v>78245</v>
      </c>
      <c r="E77" s="39" t="s">
        <v>755</v>
      </c>
      <c r="F77" s="39"/>
    </row>
    <row r="78" spans="1:7" x14ac:dyDescent="0.3">
      <c r="A78" s="14" t="s">
        <v>117</v>
      </c>
      <c r="B78" s="36">
        <v>3025</v>
      </c>
      <c r="C78" s="13">
        <v>811</v>
      </c>
      <c r="D78" s="38">
        <v>77028</v>
      </c>
      <c r="E78" s="39" t="s">
        <v>752</v>
      </c>
      <c r="F78" s="39"/>
    </row>
    <row r="79" spans="1:7" x14ac:dyDescent="0.3">
      <c r="A79" s="14" t="s">
        <v>164</v>
      </c>
      <c r="B79" s="36">
        <v>6054</v>
      </c>
      <c r="C79" s="13">
        <v>787</v>
      </c>
      <c r="D79" s="38">
        <v>66268</v>
      </c>
      <c r="E79" s="39" t="s">
        <v>751</v>
      </c>
      <c r="F79" s="39"/>
    </row>
    <row r="80" spans="1:7" x14ac:dyDescent="0.3">
      <c r="A80" s="14" t="s">
        <v>526</v>
      </c>
      <c r="B80" s="36">
        <v>2058</v>
      </c>
      <c r="C80" s="13">
        <v>138</v>
      </c>
      <c r="D80" s="38">
        <v>122400</v>
      </c>
      <c r="E80" s="39" t="s">
        <v>754</v>
      </c>
      <c r="F80" s="39"/>
    </row>
    <row r="81" spans="1:7" x14ac:dyDescent="0.3">
      <c r="A81" s="14" t="s">
        <v>1363</v>
      </c>
      <c r="B81" s="36">
        <v>6462</v>
      </c>
      <c r="C81" s="13">
        <v>996</v>
      </c>
      <c r="D81" s="38">
        <v>64141</v>
      </c>
      <c r="E81" s="39" t="s">
        <v>755</v>
      </c>
      <c r="F81" s="39"/>
    </row>
    <row r="82" spans="1:7" x14ac:dyDescent="0.3">
      <c r="A82" s="14" t="s">
        <v>1364</v>
      </c>
      <c r="B82" s="36">
        <v>5005</v>
      </c>
      <c r="C82" s="13">
        <v>914</v>
      </c>
      <c r="D82" s="38">
        <v>101365</v>
      </c>
      <c r="E82" s="39" t="s">
        <v>753</v>
      </c>
      <c r="F82" s="39"/>
    </row>
    <row r="83" spans="1:7" x14ac:dyDescent="0.3">
      <c r="A83" s="14" t="s">
        <v>166</v>
      </c>
      <c r="B83" s="36">
        <v>3682</v>
      </c>
      <c r="C83" s="13">
        <v>542</v>
      </c>
      <c r="D83" s="38">
        <v>81635</v>
      </c>
      <c r="E83" s="39" t="s">
        <v>753</v>
      </c>
      <c r="F83" s="39"/>
    </row>
    <row r="84" spans="1:7" x14ac:dyDescent="0.3">
      <c r="A84" s="14" t="s">
        <v>12</v>
      </c>
      <c r="B84" s="36">
        <v>8945</v>
      </c>
      <c r="C84" s="13">
        <v>753</v>
      </c>
      <c r="D84" s="38">
        <v>116549</v>
      </c>
      <c r="E84" s="39" t="s">
        <v>750</v>
      </c>
      <c r="F84" s="39"/>
    </row>
    <row r="85" spans="1:7" x14ac:dyDescent="0.3">
      <c r="A85" s="14" t="s">
        <v>447</v>
      </c>
      <c r="B85" s="36">
        <v>8729</v>
      </c>
      <c r="C85" s="13">
        <v>640</v>
      </c>
      <c r="D85" s="38">
        <v>97544</v>
      </c>
      <c r="E85" s="39" t="s">
        <v>755</v>
      </c>
      <c r="F85" s="39"/>
    </row>
    <row r="86" spans="1:7" x14ac:dyDescent="0.3">
      <c r="A86" s="14" t="s">
        <v>14</v>
      </c>
      <c r="B86" s="36">
        <v>2329</v>
      </c>
      <c r="C86" s="13">
        <v>667</v>
      </c>
      <c r="D86" s="38">
        <v>103256</v>
      </c>
      <c r="E86" s="39" t="s">
        <v>749</v>
      </c>
      <c r="F86" s="39"/>
    </row>
    <row r="87" spans="1:7" x14ac:dyDescent="0.3">
      <c r="A87" s="14" t="s">
        <v>462</v>
      </c>
      <c r="B87" s="36">
        <v>7984</v>
      </c>
      <c r="C87" s="13">
        <v>430</v>
      </c>
      <c r="D87" s="38">
        <v>57101</v>
      </c>
      <c r="E87" s="39" t="s">
        <v>750</v>
      </c>
      <c r="F87" s="39"/>
    </row>
    <row r="88" spans="1:7" x14ac:dyDescent="0.3">
      <c r="A88" s="14" t="s">
        <v>450</v>
      </c>
      <c r="B88" s="36">
        <v>8542</v>
      </c>
      <c r="C88" s="13">
        <v>218</v>
      </c>
      <c r="D88" s="38">
        <v>62673</v>
      </c>
      <c r="E88" s="39" t="s">
        <v>754</v>
      </c>
      <c r="F88" s="39"/>
    </row>
    <row r="89" spans="1:7" x14ac:dyDescent="0.3">
      <c r="A89" s="14" t="s">
        <v>588</v>
      </c>
      <c r="B89" s="36">
        <v>5733</v>
      </c>
      <c r="C89" s="13">
        <v>974</v>
      </c>
      <c r="D89" s="38">
        <v>76284</v>
      </c>
      <c r="E89" s="39" t="s">
        <v>750</v>
      </c>
      <c r="F89" s="39"/>
      <c r="G89" s="16"/>
    </row>
    <row r="90" spans="1:7" x14ac:dyDescent="0.3">
      <c r="A90" s="14" t="s">
        <v>558</v>
      </c>
      <c r="B90" s="36">
        <v>5266</v>
      </c>
      <c r="C90" s="13">
        <v>581</v>
      </c>
      <c r="D90" s="38">
        <v>59899</v>
      </c>
      <c r="E90" s="39" t="s">
        <v>752</v>
      </c>
      <c r="F90" s="39"/>
    </row>
    <row r="91" spans="1:7" x14ac:dyDescent="0.3">
      <c r="A91" s="14" t="s">
        <v>634</v>
      </c>
      <c r="B91" s="36">
        <v>1761</v>
      </c>
      <c r="C91" s="13">
        <v>706</v>
      </c>
      <c r="D91" s="38">
        <v>83558</v>
      </c>
      <c r="E91" s="39" t="s">
        <v>750</v>
      </c>
      <c r="F91" s="39"/>
    </row>
    <row r="92" spans="1:7" x14ac:dyDescent="0.3">
      <c r="A92" s="14" t="s">
        <v>89</v>
      </c>
      <c r="B92" s="36">
        <v>4366</v>
      </c>
      <c r="C92" s="13">
        <v>715</v>
      </c>
      <c r="D92" s="38">
        <v>112322</v>
      </c>
      <c r="E92" s="39" t="s">
        <v>754</v>
      </c>
      <c r="F92" s="39"/>
    </row>
    <row r="93" spans="1:7" x14ac:dyDescent="0.3">
      <c r="A93" s="14" t="s">
        <v>607</v>
      </c>
      <c r="B93" s="36">
        <v>8895</v>
      </c>
      <c r="C93" s="13">
        <v>807</v>
      </c>
      <c r="D93" s="38">
        <v>96603</v>
      </c>
      <c r="E93" s="39" t="s">
        <v>752</v>
      </c>
      <c r="F93" s="39"/>
    </row>
    <row r="94" spans="1:7" x14ac:dyDescent="0.3">
      <c r="A94" s="14" t="s">
        <v>245</v>
      </c>
      <c r="B94" s="36">
        <v>3129</v>
      </c>
      <c r="C94" s="13">
        <v>245</v>
      </c>
      <c r="D94" s="38">
        <v>92784</v>
      </c>
      <c r="E94" s="39" t="s">
        <v>751</v>
      </c>
      <c r="F94" s="39"/>
    </row>
    <row r="95" spans="1:7" x14ac:dyDescent="0.3">
      <c r="A95" s="14" t="s">
        <v>106</v>
      </c>
      <c r="B95" s="36">
        <v>8189</v>
      </c>
      <c r="C95" s="13">
        <v>866</v>
      </c>
      <c r="D95" s="38">
        <v>73507</v>
      </c>
      <c r="E95" s="39" t="s">
        <v>752</v>
      </c>
      <c r="F95" s="39"/>
    </row>
    <row r="96" spans="1:7" x14ac:dyDescent="0.3">
      <c r="A96" s="14" t="s">
        <v>622</v>
      </c>
      <c r="B96" s="36">
        <v>6590</v>
      </c>
      <c r="C96" s="13">
        <v>347</v>
      </c>
      <c r="D96" s="38">
        <v>109943</v>
      </c>
      <c r="E96" s="39" t="s">
        <v>751</v>
      </c>
      <c r="F96" s="39"/>
    </row>
    <row r="97" spans="1:6" x14ac:dyDescent="0.3">
      <c r="A97" s="14" t="s">
        <v>16</v>
      </c>
      <c r="B97" s="36">
        <v>3827</v>
      </c>
      <c r="C97" s="13">
        <v>312</v>
      </c>
      <c r="D97" s="38">
        <v>52306</v>
      </c>
      <c r="E97" s="39" t="s">
        <v>751</v>
      </c>
      <c r="F97" s="39"/>
    </row>
    <row r="98" spans="1:6" x14ac:dyDescent="0.3">
      <c r="A98" s="14" t="s">
        <v>18</v>
      </c>
      <c r="B98" s="36">
        <v>8835</v>
      </c>
      <c r="C98" s="13">
        <v>678</v>
      </c>
      <c r="D98" s="38">
        <v>67772</v>
      </c>
      <c r="E98" s="39" t="s">
        <v>750</v>
      </c>
      <c r="F98" s="39"/>
    </row>
    <row r="99" spans="1:6" x14ac:dyDescent="0.3">
      <c r="A99" s="14" t="s">
        <v>20</v>
      </c>
      <c r="B99" s="36">
        <v>9083</v>
      </c>
      <c r="C99" s="13">
        <v>642</v>
      </c>
      <c r="D99" s="38">
        <v>111454</v>
      </c>
      <c r="E99" s="39" t="s">
        <v>749</v>
      </c>
      <c r="F99" s="39"/>
    </row>
    <row r="100" spans="1:6" x14ac:dyDescent="0.3">
      <c r="A100" s="14" t="s">
        <v>22</v>
      </c>
      <c r="B100" s="36">
        <v>6781</v>
      </c>
      <c r="C100" s="13">
        <v>868</v>
      </c>
      <c r="D100" s="38">
        <v>102322</v>
      </c>
      <c r="E100" s="39" t="s">
        <v>751</v>
      </c>
      <c r="F100" s="39"/>
    </row>
    <row r="101" spans="1:6" x14ac:dyDescent="0.3">
      <c r="A101" s="14" t="s">
        <v>580</v>
      </c>
      <c r="B101" s="36">
        <v>7774</v>
      </c>
      <c r="C101" s="13">
        <v>615</v>
      </c>
      <c r="D101" s="38">
        <v>55997</v>
      </c>
      <c r="E101" s="39" t="s">
        <v>755</v>
      </c>
      <c r="F101" s="39"/>
    </row>
    <row r="102" spans="1:6" x14ac:dyDescent="0.3">
      <c r="A102" s="14" t="s">
        <v>24</v>
      </c>
      <c r="B102" s="36">
        <v>2926</v>
      </c>
      <c r="C102" s="13">
        <v>328</v>
      </c>
      <c r="D102" s="38">
        <v>97922</v>
      </c>
      <c r="E102" s="39" t="s">
        <v>754</v>
      </c>
      <c r="F102" s="39"/>
    </row>
    <row r="103" spans="1:6" x14ac:dyDescent="0.3">
      <c r="A103" s="14" t="s">
        <v>646</v>
      </c>
      <c r="B103" s="36">
        <v>5726</v>
      </c>
      <c r="C103" s="13">
        <v>495</v>
      </c>
      <c r="D103" s="38">
        <v>51208</v>
      </c>
      <c r="E103" s="39" t="s">
        <v>750</v>
      </c>
      <c r="F103" s="39"/>
    </row>
    <row r="104" spans="1:6" x14ac:dyDescent="0.3">
      <c r="A104" s="14" t="s">
        <v>642</v>
      </c>
      <c r="B104" s="36">
        <v>6047</v>
      </c>
      <c r="C104" s="13">
        <v>943</v>
      </c>
      <c r="D104" s="38">
        <v>111834</v>
      </c>
      <c r="E104" s="39" t="s">
        <v>751</v>
      </c>
      <c r="F104" s="39"/>
    </row>
    <row r="105" spans="1:6" x14ac:dyDescent="0.3">
      <c r="A105" s="14" t="s">
        <v>27</v>
      </c>
      <c r="B105" s="36">
        <v>2868</v>
      </c>
      <c r="C105" s="13">
        <v>510</v>
      </c>
      <c r="D105" s="38">
        <v>97801</v>
      </c>
      <c r="E105" s="39" t="s">
        <v>754</v>
      </c>
      <c r="F105" s="39"/>
    </row>
    <row r="106" spans="1:6" x14ac:dyDescent="0.3">
      <c r="A106" s="14" t="s">
        <v>1360</v>
      </c>
      <c r="B106" s="36">
        <v>2459</v>
      </c>
      <c r="C106" s="13">
        <v>444</v>
      </c>
      <c r="D106" s="38">
        <v>57318</v>
      </c>
      <c r="E106" s="39" t="s">
        <v>755</v>
      </c>
      <c r="F106" s="39"/>
    </row>
    <row r="107" spans="1:6" x14ac:dyDescent="0.3">
      <c r="A107" s="14" t="s">
        <v>127</v>
      </c>
      <c r="B107" s="36">
        <v>6496</v>
      </c>
      <c r="C107" s="13">
        <v>388</v>
      </c>
      <c r="D107" s="38">
        <v>75536</v>
      </c>
      <c r="E107" s="39" t="s">
        <v>755</v>
      </c>
      <c r="F107" s="39"/>
    </row>
    <row r="108" spans="1:6" x14ac:dyDescent="0.3">
      <c r="A108" s="14" t="s">
        <v>578</v>
      </c>
      <c r="B108" s="36">
        <v>5258</v>
      </c>
      <c r="C108" s="13">
        <v>143</v>
      </c>
      <c r="D108" s="38">
        <v>95461</v>
      </c>
      <c r="E108" s="39" t="s">
        <v>752</v>
      </c>
      <c r="F108" s="39"/>
    </row>
    <row r="109" spans="1:6" x14ac:dyDescent="0.3">
      <c r="A109" s="14" t="s">
        <v>29</v>
      </c>
      <c r="B109" s="36">
        <v>6533</v>
      </c>
      <c r="C109" s="13">
        <v>199</v>
      </c>
      <c r="D109" s="38">
        <v>45843</v>
      </c>
      <c r="E109" s="39" t="s">
        <v>749</v>
      </c>
      <c r="F109" s="39"/>
    </row>
    <row r="110" spans="1:6" x14ac:dyDescent="0.3">
      <c r="A110" s="14" t="s">
        <v>473</v>
      </c>
      <c r="B110" s="36">
        <v>3556</v>
      </c>
      <c r="C110" s="13">
        <v>199</v>
      </c>
      <c r="D110" s="38">
        <v>73248</v>
      </c>
      <c r="E110" s="39" t="s">
        <v>753</v>
      </c>
      <c r="F110" s="39"/>
    </row>
    <row r="111" spans="1:6" x14ac:dyDescent="0.3">
      <c r="A111" s="14" t="s">
        <v>359</v>
      </c>
      <c r="B111" s="36">
        <v>9152</v>
      </c>
      <c r="C111" s="13">
        <v>655</v>
      </c>
      <c r="D111" s="38">
        <v>76163</v>
      </c>
      <c r="E111" s="39" t="s">
        <v>753</v>
      </c>
      <c r="F111" s="39"/>
    </row>
    <row r="112" spans="1:6" x14ac:dyDescent="0.3">
      <c r="A112" s="14" t="s">
        <v>648</v>
      </c>
      <c r="B112" s="36">
        <v>5962</v>
      </c>
      <c r="C112" s="13">
        <v>765</v>
      </c>
      <c r="D112" s="38">
        <v>62335</v>
      </c>
      <c r="E112" s="39" t="s">
        <v>749</v>
      </c>
      <c r="F112" s="39"/>
    </row>
    <row r="113" spans="1:6" x14ac:dyDescent="0.3">
      <c r="A113" s="14" t="s">
        <v>525</v>
      </c>
      <c r="B113" s="36">
        <v>4534</v>
      </c>
      <c r="C113" s="13">
        <v>926</v>
      </c>
      <c r="D113" s="38">
        <v>77015</v>
      </c>
      <c r="E113" s="39" t="s">
        <v>752</v>
      </c>
      <c r="F113" s="39"/>
    </row>
    <row r="114" spans="1:6" x14ac:dyDescent="0.3">
      <c r="A114" s="14" t="s">
        <v>278</v>
      </c>
      <c r="B114" s="36">
        <v>4691</v>
      </c>
      <c r="C114" s="13">
        <v>447</v>
      </c>
      <c r="D114" s="38">
        <v>120355</v>
      </c>
      <c r="E114" s="39" t="s">
        <v>753</v>
      </c>
      <c r="F114" s="39"/>
    </row>
    <row r="115" spans="1:6" x14ac:dyDescent="0.3">
      <c r="A115" s="14" t="s">
        <v>411</v>
      </c>
      <c r="B115" s="36">
        <v>9134</v>
      </c>
      <c r="C115" s="13">
        <v>417</v>
      </c>
      <c r="D115" s="38">
        <v>102208</v>
      </c>
      <c r="E115" s="39" t="s">
        <v>750</v>
      </c>
      <c r="F115" s="39"/>
    </row>
    <row r="116" spans="1:6" x14ac:dyDescent="0.3">
      <c r="A116" s="14" t="s">
        <v>778</v>
      </c>
      <c r="B116" s="36">
        <v>3285</v>
      </c>
      <c r="C116" s="13">
        <v>795</v>
      </c>
      <c r="D116" s="38">
        <v>66474</v>
      </c>
      <c r="E116" s="39" t="s">
        <v>754</v>
      </c>
      <c r="F116" s="39"/>
    </row>
    <row r="117" spans="1:6" x14ac:dyDescent="0.3">
      <c r="A117" s="14" t="s">
        <v>1359</v>
      </c>
      <c r="B117" s="36">
        <v>7331</v>
      </c>
      <c r="C117" s="13">
        <v>991</v>
      </c>
      <c r="D117" s="38">
        <v>59082</v>
      </c>
      <c r="E117" s="39" t="s">
        <v>755</v>
      </c>
      <c r="F117" s="39"/>
    </row>
    <row r="118" spans="1:6" x14ac:dyDescent="0.3">
      <c r="A118" s="14" t="s">
        <v>512</v>
      </c>
      <c r="B118" s="36">
        <v>7086</v>
      </c>
      <c r="C118" s="13">
        <v>652</v>
      </c>
      <c r="D118" s="38">
        <v>63884</v>
      </c>
      <c r="E118" s="39" t="s">
        <v>751</v>
      </c>
      <c r="F118" s="39"/>
    </row>
    <row r="119" spans="1:6" x14ac:dyDescent="0.3">
      <c r="A119" s="14" t="s">
        <v>483</v>
      </c>
      <c r="B119" s="36">
        <v>4739</v>
      </c>
      <c r="C119" s="13">
        <v>454</v>
      </c>
      <c r="D119" s="38">
        <v>89510</v>
      </c>
      <c r="E119" s="39" t="s">
        <v>754</v>
      </c>
      <c r="F119" s="39"/>
    </row>
    <row r="120" spans="1:6" x14ac:dyDescent="0.3">
      <c r="A120" s="14" t="s">
        <v>32</v>
      </c>
      <c r="B120" s="36">
        <v>5597</v>
      </c>
      <c r="C120" s="13">
        <v>230</v>
      </c>
      <c r="D120" s="38">
        <v>47567</v>
      </c>
      <c r="E120" s="39" t="s">
        <v>752</v>
      </c>
      <c r="F120" s="39"/>
    </row>
    <row r="121" spans="1:6" x14ac:dyDescent="0.3">
      <c r="A121" s="14" t="s">
        <v>131</v>
      </c>
      <c r="B121" s="36">
        <v>7049</v>
      </c>
      <c r="C121" s="13">
        <v>517</v>
      </c>
      <c r="D121" s="38">
        <v>115607</v>
      </c>
      <c r="E121" s="39" t="s">
        <v>750</v>
      </c>
      <c r="F121" s="39"/>
    </row>
    <row r="122" spans="1:6" x14ac:dyDescent="0.3">
      <c r="A122" s="14" t="s">
        <v>34</v>
      </c>
      <c r="B122" s="36">
        <v>6738</v>
      </c>
      <c r="C122" s="13">
        <v>125</v>
      </c>
      <c r="D122" s="38">
        <v>47052</v>
      </c>
      <c r="E122" s="39" t="s">
        <v>755</v>
      </c>
      <c r="F122" s="39"/>
    </row>
    <row r="123" spans="1:6" x14ac:dyDescent="0.3">
      <c r="A123" s="14" t="s">
        <v>551</v>
      </c>
      <c r="B123" s="36">
        <v>2177</v>
      </c>
      <c r="C123" s="13">
        <v>875</v>
      </c>
      <c r="D123" s="38">
        <v>69179</v>
      </c>
      <c r="E123" s="39" t="s">
        <v>753</v>
      </c>
      <c r="F123" s="39"/>
    </row>
    <row r="124" spans="1:6" x14ac:dyDescent="0.3">
      <c r="A124" s="14" t="s">
        <v>36</v>
      </c>
      <c r="B124" s="36">
        <v>9146</v>
      </c>
      <c r="C124" s="13">
        <v>510</v>
      </c>
      <c r="D124" s="38">
        <v>88143</v>
      </c>
      <c r="E124" s="39" t="s">
        <v>754</v>
      </c>
      <c r="F124" s="39"/>
    </row>
    <row r="125" spans="1:6" x14ac:dyDescent="0.3">
      <c r="A125" s="14" t="s">
        <v>765</v>
      </c>
      <c r="B125" s="36">
        <v>6777</v>
      </c>
      <c r="C125" s="13">
        <v>869</v>
      </c>
      <c r="D125" s="38">
        <v>53353</v>
      </c>
      <c r="E125" s="39" t="s">
        <v>754</v>
      </c>
      <c r="F125" s="39"/>
    </row>
    <row r="126" spans="1:6" x14ac:dyDescent="0.3">
      <c r="A126" s="14" t="s">
        <v>260</v>
      </c>
      <c r="B126" s="36">
        <v>6634</v>
      </c>
      <c r="C126" s="13">
        <v>864</v>
      </c>
      <c r="D126" s="38">
        <v>106727</v>
      </c>
      <c r="E126" s="39" t="s">
        <v>749</v>
      </c>
      <c r="F126" s="39"/>
    </row>
    <row r="127" spans="1:6" x14ac:dyDescent="0.3">
      <c r="A127" s="14" t="s">
        <v>415</v>
      </c>
      <c r="B127" s="36">
        <v>1890</v>
      </c>
      <c r="C127" s="13">
        <v>605</v>
      </c>
      <c r="D127" s="38">
        <v>112486</v>
      </c>
      <c r="E127" s="39" t="s">
        <v>749</v>
      </c>
      <c r="F127" s="39"/>
    </row>
    <row r="128" spans="1:6" x14ac:dyDescent="0.3">
      <c r="A128" s="14" t="s">
        <v>241</v>
      </c>
      <c r="B128" s="36">
        <v>2240</v>
      </c>
      <c r="C128" s="13">
        <v>554</v>
      </c>
      <c r="D128" s="38">
        <v>43940</v>
      </c>
      <c r="E128" s="39" t="s">
        <v>751</v>
      </c>
      <c r="F128" s="39"/>
    </row>
    <row r="129" spans="1:7" x14ac:dyDescent="0.3">
      <c r="A129" s="14" t="s">
        <v>626</v>
      </c>
      <c r="B129" s="36">
        <v>8064</v>
      </c>
      <c r="C129" s="13">
        <v>606</v>
      </c>
      <c r="D129" s="38">
        <v>92962</v>
      </c>
      <c r="E129" s="39" t="s">
        <v>750</v>
      </c>
      <c r="F129" s="39"/>
    </row>
    <row r="130" spans="1:7" x14ac:dyDescent="0.3">
      <c r="A130" s="14" t="s">
        <v>587</v>
      </c>
      <c r="B130" s="36">
        <v>5643</v>
      </c>
      <c r="C130" s="13">
        <v>960</v>
      </c>
      <c r="D130" s="38">
        <v>45981</v>
      </c>
      <c r="E130" s="39" t="s">
        <v>752</v>
      </c>
      <c r="F130" s="39"/>
    </row>
    <row r="131" spans="1:7" x14ac:dyDescent="0.3">
      <c r="A131" s="14" t="s">
        <v>148</v>
      </c>
      <c r="B131" s="36">
        <v>1757</v>
      </c>
      <c r="C131" s="13">
        <v>177</v>
      </c>
      <c r="D131" s="38">
        <v>52842</v>
      </c>
      <c r="E131" s="39" t="s">
        <v>751</v>
      </c>
      <c r="F131" s="39"/>
    </row>
    <row r="132" spans="1:7" x14ac:dyDescent="0.3">
      <c r="A132" s="14" t="s">
        <v>320</v>
      </c>
      <c r="B132" s="36">
        <v>5424</v>
      </c>
      <c r="C132" s="13">
        <v>615</v>
      </c>
      <c r="D132" s="38">
        <v>125788</v>
      </c>
      <c r="E132" s="39" t="s">
        <v>755</v>
      </c>
      <c r="F132" s="39"/>
    </row>
    <row r="133" spans="1:7" x14ac:dyDescent="0.3">
      <c r="A133" s="14" t="s">
        <v>263</v>
      </c>
      <c r="B133" s="36">
        <v>8174</v>
      </c>
      <c r="C133" s="13">
        <v>544</v>
      </c>
      <c r="D133" s="38">
        <v>125339</v>
      </c>
      <c r="E133" s="39" t="s">
        <v>751</v>
      </c>
      <c r="F133" s="39"/>
    </row>
    <row r="134" spans="1:7" x14ac:dyDescent="0.3">
      <c r="A134" s="14" t="s">
        <v>303</v>
      </c>
      <c r="B134" s="36">
        <v>8022</v>
      </c>
      <c r="C134" s="13">
        <v>194</v>
      </c>
      <c r="D134" s="38">
        <v>46564</v>
      </c>
      <c r="E134" s="39" t="s">
        <v>753</v>
      </c>
      <c r="F134" s="39"/>
    </row>
    <row r="135" spans="1:7" x14ac:dyDescent="0.3">
      <c r="A135" s="14" t="s">
        <v>97</v>
      </c>
      <c r="B135" s="36">
        <v>2852</v>
      </c>
      <c r="C135" s="13">
        <v>566</v>
      </c>
      <c r="D135" s="38">
        <v>59750</v>
      </c>
      <c r="E135" s="39" t="s">
        <v>751</v>
      </c>
      <c r="F135" s="39"/>
    </row>
    <row r="136" spans="1:7" x14ac:dyDescent="0.3">
      <c r="A136" s="14" t="s">
        <v>39</v>
      </c>
      <c r="B136" s="36">
        <v>4733</v>
      </c>
      <c r="C136" s="13">
        <v>142</v>
      </c>
      <c r="D136" s="38">
        <v>48436</v>
      </c>
      <c r="E136" s="39" t="s">
        <v>755</v>
      </c>
      <c r="F136" s="39"/>
    </row>
    <row r="137" spans="1:7" x14ac:dyDescent="0.3">
      <c r="A137" s="14" t="s">
        <v>342</v>
      </c>
      <c r="B137" s="36">
        <v>3781</v>
      </c>
      <c r="C137" s="13">
        <v>263</v>
      </c>
      <c r="D137" s="38">
        <v>90823</v>
      </c>
      <c r="E137" s="39" t="s">
        <v>754</v>
      </c>
      <c r="F137" s="39"/>
    </row>
    <row r="138" spans="1:7" x14ac:dyDescent="0.3">
      <c r="A138" s="14" t="s">
        <v>627</v>
      </c>
      <c r="B138" s="36">
        <v>4671</v>
      </c>
      <c r="C138" s="13">
        <v>376</v>
      </c>
      <c r="D138" s="38">
        <v>111002</v>
      </c>
      <c r="E138" s="39" t="s">
        <v>753</v>
      </c>
      <c r="F138" s="39"/>
    </row>
    <row r="139" spans="1:7" x14ac:dyDescent="0.3">
      <c r="A139" s="14" t="s">
        <v>284</v>
      </c>
      <c r="B139" s="36">
        <v>8401</v>
      </c>
      <c r="C139" s="13">
        <v>595</v>
      </c>
      <c r="D139" s="38">
        <v>86169</v>
      </c>
      <c r="E139" s="39" t="s">
        <v>751</v>
      </c>
      <c r="F139" s="39"/>
    </row>
    <row r="140" spans="1:7" x14ac:dyDescent="0.3">
      <c r="A140" s="14" t="s">
        <v>42</v>
      </c>
      <c r="B140" s="36">
        <v>8735</v>
      </c>
      <c r="C140" s="13">
        <v>357</v>
      </c>
      <c r="D140" s="38">
        <v>55058</v>
      </c>
      <c r="E140" s="39" t="s">
        <v>755</v>
      </c>
      <c r="F140" s="39"/>
    </row>
    <row r="141" spans="1:7" x14ac:dyDescent="0.3">
      <c r="A141" s="14" t="s">
        <v>87</v>
      </c>
      <c r="B141" s="36">
        <v>1771</v>
      </c>
      <c r="C141" s="13">
        <v>608</v>
      </c>
      <c r="D141" s="38">
        <v>59922</v>
      </c>
      <c r="E141" s="39" t="s">
        <v>751</v>
      </c>
      <c r="F141" s="39"/>
      <c r="G141" s="16"/>
    </row>
    <row r="142" spans="1:7" x14ac:dyDescent="0.3">
      <c r="A142" s="14" t="s">
        <v>446</v>
      </c>
      <c r="B142" s="36">
        <v>4334</v>
      </c>
      <c r="C142" s="13">
        <v>213</v>
      </c>
      <c r="D142" s="38">
        <v>80964</v>
      </c>
      <c r="E142" s="39" t="s">
        <v>752</v>
      </c>
      <c r="F142" s="39"/>
    </row>
    <row r="143" spans="1:7" x14ac:dyDescent="0.3">
      <c r="A143" s="14" t="s">
        <v>328</v>
      </c>
      <c r="B143" s="36">
        <v>3975</v>
      </c>
      <c r="C143" s="13">
        <v>174</v>
      </c>
      <c r="D143" s="38">
        <v>68347</v>
      </c>
      <c r="E143" s="39" t="s">
        <v>749</v>
      </c>
      <c r="F143" s="39"/>
    </row>
    <row r="144" spans="1:7" x14ac:dyDescent="0.3">
      <c r="A144" s="14" t="s">
        <v>606</v>
      </c>
      <c r="B144" s="36">
        <v>2547</v>
      </c>
      <c r="C144" s="13">
        <v>979</v>
      </c>
      <c r="D144" s="38">
        <v>90273</v>
      </c>
      <c r="E144" s="39" t="s">
        <v>754</v>
      </c>
      <c r="F144" s="39"/>
    </row>
    <row r="145" spans="1:7" x14ac:dyDescent="0.3">
      <c r="A145" s="14" t="s">
        <v>339</v>
      </c>
      <c r="B145" s="36">
        <v>4606</v>
      </c>
      <c r="C145" s="13">
        <v>749</v>
      </c>
      <c r="D145" s="38">
        <v>79612</v>
      </c>
      <c r="E145" s="39" t="s">
        <v>752</v>
      </c>
      <c r="F145" s="39"/>
      <c r="G145" s="16"/>
    </row>
    <row r="146" spans="1:7" x14ac:dyDescent="0.3">
      <c r="A146" s="14" t="s">
        <v>71</v>
      </c>
      <c r="B146" s="36">
        <v>1823</v>
      </c>
      <c r="C146" s="13">
        <v>756</v>
      </c>
      <c r="D146" s="38">
        <v>101128</v>
      </c>
      <c r="E146" s="39" t="s">
        <v>749</v>
      </c>
      <c r="F146" s="39"/>
    </row>
    <row r="147" spans="1:7" x14ac:dyDescent="0.3">
      <c r="A147" s="14" t="s">
        <v>44</v>
      </c>
      <c r="B147" s="36">
        <v>1709</v>
      </c>
      <c r="C147" s="13">
        <v>676</v>
      </c>
      <c r="D147" s="38">
        <v>117261</v>
      </c>
      <c r="E147" s="39" t="s">
        <v>754</v>
      </c>
      <c r="F147" s="39"/>
    </row>
    <row r="148" spans="1:7" x14ac:dyDescent="0.3">
      <c r="A148" s="14" t="s">
        <v>403</v>
      </c>
      <c r="B148" s="36">
        <v>8917</v>
      </c>
      <c r="C148" s="13">
        <v>536</v>
      </c>
      <c r="D148" s="38">
        <v>69745</v>
      </c>
      <c r="E148" s="39" t="s">
        <v>750</v>
      </c>
      <c r="F148" s="39"/>
    </row>
    <row r="149" spans="1:7" x14ac:dyDescent="0.3">
      <c r="A149" s="14" t="s">
        <v>458</v>
      </c>
      <c r="B149" s="36">
        <v>2676</v>
      </c>
      <c r="C149" s="13">
        <v>332</v>
      </c>
      <c r="D149" s="38">
        <v>84580</v>
      </c>
      <c r="E149" s="39" t="s">
        <v>750</v>
      </c>
      <c r="F149" s="39"/>
    </row>
    <row r="150" spans="1:7" x14ac:dyDescent="0.3">
      <c r="A150" s="14" t="s">
        <v>741</v>
      </c>
      <c r="B150" s="36">
        <v>6976</v>
      </c>
      <c r="C150" s="13">
        <v>768</v>
      </c>
      <c r="D150" s="38">
        <v>125113</v>
      </c>
      <c r="E150" s="39" t="s">
        <v>755</v>
      </c>
      <c r="F150" s="39"/>
      <c r="G150" s="16"/>
    </row>
    <row r="151" spans="1:7" x14ac:dyDescent="0.3">
      <c r="A151" s="14" t="s">
        <v>269</v>
      </c>
      <c r="B151" s="36">
        <v>3134</v>
      </c>
      <c r="C151" s="13">
        <v>303</v>
      </c>
      <c r="D151" s="38">
        <v>70130</v>
      </c>
      <c r="E151" s="39" t="s">
        <v>752</v>
      </c>
      <c r="F151" s="39"/>
    </row>
    <row r="152" spans="1:7" x14ac:dyDescent="0.3">
      <c r="A152" s="14" t="s">
        <v>410</v>
      </c>
      <c r="B152" s="36">
        <v>4390</v>
      </c>
      <c r="C152" s="13">
        <v>344</v>
      </c>
      <c r="D152" s="38">
        <v>66946</v>
      </c>
      <c r="E152" s="39" t="s">
        <v>749</v>
      </c>
      <c r="F152" s="39"/>
    </row>
    <row r="153" spans="1:7" x14ac:dyDescent="0.3">
      <c r="A153" s="14" t="s">
        <v>437</v>
      </c>
      <c r="B153" s="36">
        <v>7759</v>
      </c>
      <c r="C153" s="13">
        <v>494</v>
      </c>
      <c r="D153" s="38">
        <v>52272</v>
      </c>
      <c r="E153" s="39" t="s">
        <v>752</v>
      </c>
      <c r="F153" s="39"/>
    </row>
    <row r="154" spans="1:7" x14ac:dyDescent="0.3">
      <c r="A154" s="14" t="s">
        <v>146</v>
      </c>
      <c r="B154" s="36">
        <v>2540</v>
      </c>
      <c r="C154" s="13">
        <v>596</v>
      </c>
      <c r="D154" s="38">
        <v>107695</v>
      </c>
      <c r="E154" s="39" t="s">
        <v>753</v>
      </c>
      <c r="F154" s="39"/>
    </row>
    <row r="155" spans="1:7" x14ac:dyDescent="0.3">
      <c r="A155" s="14" t="s">
        <v>300</v>
      </c>
      <c r="B155" s="36">
        <v>2891</v>
      </c>
      <c r="C155" s="13">
        <v>401</v>
      </c>
      <c r="D155" s="38">
        <v>60730</v>
      </c>
      <c r="E155" s="39" t="s">
        <v>752</v>
      </c>
      <c r="F155" s="39"/>
    </row>
    <row r="156" spans="1:7" x14ac:dyDescent="0.3">
      <c r="A156" s="14" t="s">
        <v>208</v>
      </c>
      <c r="B156" s="36">
        <v>1826</v>
      </c>
      <c r="C156" s="13">
        <v>246</v>
      </c>
      <c r="D156" s="38">
        <v>65753</v>
      </c>
      <c r="E156" s="39" t="s">
        <v>750</v>
      </c>
      <c r="F156" s="39"/>
    </row>
    <row r="157" spans="1:7" x14ac:dyDescent="0.3">
      <c r="A157" s="14" t="s">
        <v>365</v>
      </c>
      <c r="B157" s="36">
        <v>6836</v>
      </c>
      <c r="C157" s="13">
        <v>210</v>
      </c>
      <c r="D157" s="38">
        <v>92000</v>
      </c>
      <c r="E157" s="39" t="s">
        <v>750</v>
      </c>
      <c r="F157" s="39"/>
    </row>
    <row r="158" spans="1:7" x14ac:dyDescent="0.3">
      <c r="A158" s="14" t="s">
        <v>292</v>
      </c>
      <c r="B158" s="36">
        <v>1626</v>
      </c>
      <c r="C158" s="13">
        <v>702</v>
      </c>
      <c r="D158" s="38">
        <v>120325</v>
      </c>
      <c r="E158" s="39" t="s">
        <v>754</v>
      </c>
      <c r="F158" s="39"/>
    </row>
    <row r="159" spans="1:7" x14ac:dyDescent="0.3">
      <c r="A159" s="14" t="s">
        <v>1353</v>
      </c>
      <c r="B159" s="36">
        <v>4018</v>
      </c>
      <c r="C159" s="13">
        <v>770</v>
      </c>
      <c r="D159" s="38">
        <v>109251</v>
      </c>
      <c r="E159" s="39" t="s">
        <v>749</v>
      </c>
      <c r="F159" s="39"/>
    </row>
    <row r="160" spans="1:7" x14ac:dyDescent="0.3">
      <c r="A160" s="14" t="s">
        <v>253</v>
      </c>
      <c r="B160" s="36">
        <v>3722</v>
      </c>
      <c r="C160" s="13">
        <v>654</v>
      </c>
      <c r="D160" s="38">
        <v>98485</v>
      </c>
      <c r="E160" s="39" t="s">
        <v>754</v>
      </c>
      <c r="F160" s="39"/>
    </row>
    <row r="161" spans="1:6" x14ac:dyDescent="0.3">
      <c r="A161" s="14" t="s">
        <v>459</v>
      </c>
      <c r="B161" s="36">
        <v>7776</v>
      </c>
      <c r="C161" s="13">
        <v>308</v>
      </c>
      <c r="D161" s="38">
        <v>121824</v>
      </c>
      <c r="E161" s="39" t="s">
        <v>753</v>
      </c>
      <c r="F161" s="39"/>
    </row>
    <row r="162" spans="1:6" x14ac:dyDescent="0.3">
      <c r="A162" s="14" t="s">
        <v>41</v>
      </c>
      <c r="B162" s="36">
        <v>2056</v>
      </c>
      <c r="C162" s="13">
        <v>381</v>
      </c>
      <c r="D162" s="38">
        <v>87932</v>
      </c>
      <c r="E162" s="39" t="s">
        <v>752</v>
      </c>
      <c r="F162" s="39"/>
    </row>
    <row r="163" spans="1:6" x14ac:dyDescent="0.3">
      <c r="A163" s="14" t="s">
        <v>370</v>
      </c>
      <c r="B163" s="36">
        <v>8346</v>
      </c>
      <c r="C163" s="13">
        <v>202</v>
      </c>
      <c r="D163" s="38">
        <v>78997</v>
      </c>
      <c r="E163" s="39" t="s">
        <v>753</v>
      </c>
      <c r="F163" s="39"/>
    </row>
    <row r="164" spans="1:6" x14ac:dyDescent="0.3">
      <c r="A164" s="14" t="s">
        <v>196</v>
      </c>
      <c r="B164" s="36">
        <v>8468</v>
      </c>
      <c r="C164" s="13">
        <v>322</v>
      </c>
      <c r="D164" s="38">
        <v>45391</v>
      </c>
      <c r="E164" s="39" t="s">
        <v>755</v>
      </c>
      <c r="F164" s="39"/>
    </row>
    <row r="165" spans="1:6" x14ac:dyDescent="0.3">
      <c r="A165" s="14" t="s">
        <v>560</v>
      </c>
      <c r="B165" s="36">
        <v>7302</v>
      </c>
      <c r="C165" s="13">
        <v>736</v>
      </c>
      <c r="D165" s="38">
        <v>43394</v>
      </c>
      <c r="E165" s="39" t="s">
        <v>753</v>
      </c>
      <c r="F165" s="39"/>
    </row>
    <row r="166" spans="1:6" x14ac:dyDescent="0.3">
      <c r="A166" s="14" t="s">
        <v>178</v>
      </c>
      <c r="B166" s="36">
        <v>5237</v>
      </c>
      <c r="C166" s="13">
        <v>221</v>
      </c>
      <c r="D166" s="38">
        <v>107900</v>
      </c>
      <c r="E166" s="39" t="s">
        <v>749</v>
      </c>
      <c r="F166" s="39"/>
    </row>
    <row r="167" spans="1:6" x14ac:dyDescent="0.3">
      <c r="A167" s="14" t="s">
        <v>160</v>
      </c>
      <c r="B167" s="36">
        <v>4045</v>
      </c>
      <c r="C167" s="13">
        <v>668</v>
      </c>
      <c r="D167" s="38">
        <v>61685</v>
      </c>
      <c r="E167" s="39" t="s">
        <v>755</v>
      </c>
      <c r="F167" s="39"/>
    </row>
    <row r="168" spans="1:6" x14ac:dyDescent="0.3">
      <c r="A168" s="14" t="s">
        <v>47</v>
      </c>
      <c r="B168" s="36">
        <v>7574</v>
      </c>
      <c r="C168" s="13">
        <v>611</v>
      </c>
      <c r="D168" s="38">
        <v>89144</v>
      </c>
      <c r="E168" s="39" t="s">
        <v>751</v>
      </c>
      <c r="F168" s="39"/>
    </row>
    <row r="169" spans="1:6" x14ac:dyDescent="0.3">
      <c r="A169" s="14" t="s">
        <v>520</v>
      </c>
      <c r="B169" s="36">
        <v>7644</v>
      </c>
      <c r="C169" s="13">
        <v>970</v>
      </c>
      <c r="D169" s="38">
        <v>113344</v>
      </c>
      <c r="E169" s="39" t="s">
        <v>754</v>
      </c>
      <c r="F169" s="39"/>
    </row>
    <row r="170" spans="1:6" x14ac:dyDescent="0.3">
      <c r="A170" s="14" t="s">
        <v>49</v>
      </c>
      <c r="B170" s="36">
        <v>7456</v>
      </c>
      <c r="C170" s="13">
        <v>298</v>
      </c>
      <c r="D170" s="38">
        <v>81059</v>
      </c>
      <c r="E170" s="39" t="s">
        <v>749</v>
      </c>
      <c r="F170" s="39"/>
    </row>
    <row r="171" spans="1:6" x14ac:dyDescent="0.3">
      <c r="A171" s="14" t="s">
        <v>347</v>
      </c>
      <c r="B171" s="36">
        <v>8420</v>
      </c>
      <c r="C171" s="13">
        <v>853</v>
      </c>
      <c r="D171" s="38">
        <v>85067</v>
      </c>
      <c r="E171" s="39" t="s">
        <v>754</v>
      </c>
      <c r="F171" s="39"/>
    </row>
    <row r="172" spans="1:6" x14ac:dyDescent="0.3">
      <c r="A172" s="14" t="s">
        <v>456</v>
      </c>
      <c r="B172" s="36">
        <v>6018</v>
      </c>
      <c r="C172" s="13">
        <v>363</v>
      </c>
      <c r="D172" s="38">
        <v>107127</v>
      </c>
      <c r="E172" s="39" t="s">
        <v>752</v>
      </c>
      <c r="F172" s="39"/>
    </row>
    <row r="173" spans="1:6" x14ac:dyDescent="0.3">
      <c r="A173" s="14" t="s">
        <v>91</v>
      </c>
      <c r="B173" s="36">
        <v>4923</v>
      </c>
      <c r="C173" s="13">
        <v>418</v>
      </c>
      <c r="D173" s="38">
        <v>99340</v>
      </c>
      <c r="E173" s="39" t="s">
        <v>753</v>
      </c>
      <c r="F173" s="39"/>
    </row>
    <row r="174" spans="1:6" x14ac:dyDescent="0.3">
      <c r="A174" s="14" t="s">
        <v>52</v>
      </c>
      <c r="B174" s="36">
        <v>4673</v>
      </c>
      <c r="C174" s="13">
        <v>431</v>
      </c>
      <c r="D174" s="38">
        <v>49683</v>
      </c>
      <c r="E174" s="39" t="s">
        <v>753</v>
      </c>
      <c r="F174" s="39"/>
    </row>
    <row r="175" spans="1:6" x14ac:dyDescent="0.3">
      <c r="A175" s="14" t="s">
        <v>248</v>
      </c>
      <c r="B175" s="36">
        <v>1802</v>
      </c>
      <c r="C175" s="13">
        <v>252</v>
      </c>
      <c r="D175" s="38">
        <v>71758</v>
      </c>
      <c r="E175" s="39" t="s">
        <v>755</v>
      </c>
      <c r="F175" s="39"/>
    </row>
    <row r="176" spans="1:6" x14ac:dyDescent="0.3">
      <c r="A176" s="14" t="s">
        <v>555</v>
      </c>
      <c r="B176" s="36">
        <v>8608</v>
      </c>
      <c r="C176" s="13">
        <v>475</v>
      </c>
      <c r="D176" s="38">
        <v>94817</v>
      </c>
      <c r="E176" s="39" t="s">
        <v>751</v>
      </c>
      <c r="F176" s="39"/>
    </row>
    <row r="177" spans="1:7" x14ac:dyDescent="0.3">
      <c r="A177" s="14" t="s">
        <v>519</v>
      </c>
      <c r="B177" s="36">
        <v>6518</v>
      </c>
      <c r="C177" s="13">
        <v>848</v>
      </c>
      <c r="D177" s="38">
        <v>95259</v>
      </c>
      <c r="E177" s="39" t="s">
        <v>749</v>
      </c>
      <c r="F177" s="39"/>
    </row>
    <row r="178" spans="1:7" x14ac:dyDescent="0.3">
      <c r="A178" s="14" t="s">
        <v>163</v>
      </c>
      <c r="B178" s="36">
        <v>7126</v>
      </c>
      <c r="C178" s="13">
        <v>676</v>
      </c>
      <c r="D178" s="38">
        <v>122620</v>
      </c>
      <c r="E178" s="39" t="s">
        <v>750</v>
      </c>
      <c r="F178" s="39"/>
    </row>
    <row r="179" spans="1:7" x14ac:dyDescent="0.3">
      <c r="A179" s="14" t="s">
        <v>94</v>
      </c>
      <c r="B179" s="36">
        <v>2443</v>
      </c>
      <c r="C179" s="13">
        <v>885</v>
      </c>
      <c r="D179" s="38">
        <v>84005</v>
      </c>
      <c r="E179" s="39" t="s">
        <v>751</v>
      </c>
      <c r="F179" s="39"/>
    </row>
    <row r="180" spans="1:7" x14ac:dyDescent="0.3">
      <c r="A180" s="14" t="s">
        <v>305</v>
      </c>
      <c r="B180" s="36">
        <v>6302</v>
      </c>
      <c r="C180" s="13">
        <v>355</v>
      </c>
      <c r="D180" s="38">
        <v>88801</v>
      </c>
      <c r="E180" s="39" t="s">
        <v>750</v>
      </c>
      <c r="F180" s="39"/>
      <c r="G180" s="16"/>
    </row>
    <row r="181" spans="1:7" x14ac:dyDescent="0.3">
      <c r="A181" s="14" t="s">
        <v>53</v>
      </c>
      <c r="B181" s="36">
        <v>3924</v>
      </c>
      <c r="C181" s="13">
        <v>180</v>
      </c>
      <c r="D181" s="38">
        <v>74122</v>
      </c>
      <c r="E181" s="39" t="s">
        <v>755</v>
      </c>
      <c r="F181" s="39"/>
    </row>
    <row r="182" spans="1:7" x14ac:dyDescent="0.3">
      <c r="A182" s="14" t="s">
        <v>55</v>
      </c>
      <c r="B182" s="36">
        <v>5799</v>
      </c>
      <c r="C182" s="13">
        <v>926</v>
      </c>
      <c r="D182" s="38">
        <v>70695</v>
      </c>
      <c r="E182" s="39" t="s">
        <v>754</v>
      </c>
      <c r="F182" s="39"/>
    </row>
    <row r="183" spans="1:7" x14ac:dyDescent="0.3">
      <c r="A183" s="14" t="s">
        <v>57</v>
      </c>
      <c r="B183" s="36">
        <v>4377</v>
      </c>
      <c r="C183" s="13">
        <v>224</v>
      </c>
      <c r="D183" s="38">
        <v>68996</v>
      </c>
      <c r="E183" s="39" t="s">
        <v>752</v>
      </c>
      <c r="F183" s="39"/>
    </row>
    <row r="184" spans="1:7" x14ac:dyDescent="0.3">
      <c r="A184" s="14" t="s">
        <v>424</v>
      </c>
      <c r="B184" s="36">
        <v>2392</v>
      </c>
      <c r="C184" s="13">
        <v>976</v>
      </c>
      <c r="D184" s="38">
        <v>60068</v>
      </c>
      <c r="E184" s="39" t="s">
        <v>755</v>
      </c>
      <c r="F184" s="39"/>
    </row>
    <row r="185" spans="1:7" x14ac:dyDescent="0.3">
      <c r="A185" s="14" t="s">
        <v>235</v>
      </c>
      <c r="B185" s="36">
        <v>8827</v>
      </c>
      <c r="C185" s="13">
        <v>314</v>
      </c>
      <c r="D185" s="38">
        <v>107735</v>
      </c>
      <c r="E185" s="39" t="s">
        <v>752</v>
      </c>
      <c r="F185" s="39"/>
    </row>
    <row r="186" spans="1:7" x14ac:dyDescent="0.3">
      <c r="A186" s="14" t="s">
        <v>92</v>
      </c>
      <c r="B186" s="36">
        <v>4370</v>
      </c>
      <c r="C186" s="13">
        <v>900</v>
      </c>
      <c r="D186" s="38">
        <v>58374</v>
      </c>
      <c r="E186" s="39" t="s">
        <v>750</v>
      </c>
      <c r="F186" s="39"/>
    </row>
    <row r="187" spans="1:7" x14ac:dyDescent="0.3">
      <c r="A187" s="14" t="s">
        <v>15</v>
      </c>
      <c r="B187" s="36">
        <v>2518</v>
      </c>
      <c r="C187" s="13">
        <v>656</v>
      </c>
      <c r="D187" s="38">
        <v>46272</v>
      </c>
      <c r="E187" s="39" t="s">
        <v>755</v>
      </c>
      <c r="F187" s="39"/>
    </row>
    <row r="188" spans="1:7" x14ac:dyDescent="0.3">
      <c r="A188" s="14" t="s">
        <v>272</v>
      </c>
      <c r="B188" s="36">
        <v>4633</v>
      </c>
      <c r="C188" s="13">
        <v>385</v>
      </c>
      <c r="D188" s="38">
        <v>121308</v>
      </c>
      <c r="E188" s="39" t="s">
        <v>749</v>
      </c>
      <c r="F188" s="39"/>
    </row>
    <row r="189" spans="1:7" x14ac:dyDescent="0.3">
      <c r="A189" s="14" t="s">
        <v>287</v>
      </c>
      <c r="B189" s="36">
        <v>7083</v>
      </c>
      <c r="C189" s="13">
        <v>600</v>
      </c>
      <c r="D189" s="38">
        <v>94823</v>
      </c>
      <c r="E189" s="39" t="s">
        <v>754</v>
      </c>
      <c r="F189" s="39"/>
    </row>
    <row r="190" spans="1:7" x14ac:dyDescent="0.3">
      <c r="A190" s="14" t="s">
        <v>79</v>
      </c>
      <c r="B190" s="36">
        <v>7654</v>
      </c>
      <c r="C190" s="13">
        <v>169</v>
      </c>
      <c r="D190" s="38">
        <v>66256</v>
      </c>
      <c r="E190" s="39" t="s">
        <v>752</v>
      </c>
      <c r="F190" s="39"/>
    </row>
    <row r="191" spans="1:7" x14ac:dyDescent="0.3">
      <c r="A191" s="14" t="s">
        <v>182</v>
      </c>
      <c r="B191" s="36">
        <v>5755</v>
      </c>
      <c r="C191" s="13">
        <v>210</v>
      </c>
      <c r="D191" s="38">
        <v>124666</v>
      </c>
      <c r="E191" s="39" t="s">
        <v>750</v>
      </c>
      <c r="F191" s="39"/>
    </row>
    <row r="192" spans="1:7" x14ac:dyDescent="0.3">
      <c r="A192" s="14" t="s">
        <v>193</v>
      </c>
      <c r="B192" s="36">
        <v>7304</v>
      </c>
      <c r="C192" s="13">
        <v>956</v>
      </c>
      <c r="D192" s="38">
        <v>66573</v>
      </c>
      <c r="E192" s="39" t="s">
        <v>750</v>
      </c>
      <c r="F192" s="39"/>
    </row>
    <row r="193" spans="1:6" x14ac:dyDescent="0.3">
      <c r="A193" s="14" t="s">
        <v>374</v>
      </c>
      <c r="B193" s="36">
        <v>6699</v>
      </c>
      <c r="C193" s="13">
        <v>516</v>
      </c>
      <c r="D193" s="38">
        <v>100635</v>
      </c>
      <c r="E193" s="39" t="s">
        <v>752</v>
      </c>
      <c r="F193" s="39"/>
    </row>
    <row r="194" spans="1:6" x14ac:dyDescent="0.3">
      <c r="A194" s="14" t="s">
        <v>211</v>
      </c>
      <c r="B194" s="36">
        <v>8634</v>
      </c>
      <c r="C194" s="13">
        <v>224</v>
      </c>
      <c r="D194" s="38">
        <v>124180</v>
      </c>
      <c r="E194" s="39" t="s">
        <v>753</v>
      </c>
      <c r="F194" s="39"/>
    </row>
    <row r="195" spans="1:6" x14ac:dyDescent="0.3">
      <c r="A195" s="14" t="s">
        <v>186</v>
      </c>
      <c r="B195" s="36">
        <v>7683</v>
      </c>
      <c r="C195" s="13">
        <v>698</v>
      </c>
      <c r="D195" s="38">
        <v>79440</v>
      </c>
      <c r="E195" s="39" t="s">
        <v>754</v>
      </c>
      <c r="F195" s="39"/>
    </row>
    <row r="196" spans="1:6" x14ac:dyDescent="0.3">
      <c r="A196" s="14" t="s">
        <v>550</v>
      </c>
      <c r="B196" s="36">
        <v>6547</v>
      </c>
      <c r="C196" s="13">
        <v>520</v>
      </c>
      <c r="D196" s="38">
        <v>125922</v>
      </c>
      <c r="E196" s="39" t="s">
        <v>751</v>
      </c>
      <c r="F196" s="39"/>
    </row>
    <row r="197" spans="1:6" x14ac:dyDescent="0.3">
      <c r="A197" s="14" t="s">
        <v>445</v>
      </c>
      <c r="B197" s="36">
        <v>7827</v>
      </c>
      <c r="C197" s="13">
        <v>311</v>
      </c>
      <c r="D197" s="38">
        <v>86894</v>
      </c>
      <c r="E197" s="39" t="s">
        <v>749</v>
      </c>
      <c r="F197" s="39"/>
    </row>
    <row r="198" spans="1:6" x14ac:dyDescent="0.3">
      <c r="A198" s="14" t="s">
        <v>480</v>
      </c>
      <c r="B198" s="36">
        <v>5700</v>
      </c>
      <c r="C198" s="13">
        <v>201</v>
      </c>
      <c r="D198" s="38">
        <v>104593</v>
      </c>
      <c r="E198" s="39" t="s">
        <v>755</v>
      </c>
      <c r="F198" s="39"/>
    </row>
    <row r="199" spans="1:6" x14ac:dyDescent="0.3">
      <c r="A199" s="14" t="s">
        <v>569</v>
      </c>
      <c r="B199" s="36">
        <v>5986</v>
      </c>
      <c r="C199" s="13">
        <v>560</v>
      </c>
      <c r="D199" s="38">
        <v>88072</v>
      </c>
      <c r="E199" s="39" t="s">
        <v>753</v>
      </c>
      <c r="F199" s="39"/>
    </row>
    <row r="200" spans="1:6" x14ac:dyDescent="0.3">
      <c r="A200" s="14" t="s">
        <v>81</v>
      </c>
      <c r="B200" s="36">
        <v>6938</v>
      </c>
      <c r="C200" s="13">
        <v>307</v>
      </c>
      <c r="D200" s="38">
        <v>66922</v>
      </c>
      <c r="E200" s="39" t="s">
        <v>752</v>
      </c>
      <c r="F200" s="39"/>
    </row>
    <row r="201" spans="1:6" x14ac:dyDescent="0.3">
      <c r="A201" s="14" t="s">
        <v>95</v>
      </c>
      <c r="B201" s="36">
        <v>7095</v>
      </c>
      <c r="C201" s="13">
        <v>874</v>
      </c>
      <c r="D201" s="38">
        <v>119199</v>
      </c>
      <c r="E201" s="39" t="s">
        <v>752</v>
      </c>
      <c r="F201" s="39"/>
    </row>
    <row r="202" spans="1:6" x14ac:dyDescent="0.3">
      <c r="A202" s="14" t="s">
        <v>346</v>
      </c>
      <c r="B202" s="36">
        <v>4676</v>
      </c>
      <c r="C202" s="13">
        <v>427</v>
      </c>
      <c r="D202" s="38">
        <v>61387</v>
      </c>
      <c r="E202" s="39" t="s">
        <v>753</v>
      </c>
      <c r="F202" s="39"/>
    </row>
    <row r="203" spans="1:6" x14ac:dyDescent="0.3">
      <c r="A203" s="14" t="s">
        <v>563</v>
      </c>
      <c r="B203" s="36">
        <v>8605</v>
      </c>
      <c r="C203" s="13">
        <v>306</v>
      </c>
      <c r="D203" s="38">
        <v>126954</v>
      </c>
      <c r="E203" s="39" t="s">
        <v>749</v>
      </c>
      <c r="F203" s="39"/>
    </row>
    <row r="204" spans="1:6" x14ac:dyDescent="0.3">
      <c r="A204" s="14" t="s">
        <v>631</v>
      </c>
      <c r="B204" s="36">
        <v>5709</v>
      </c>
      <c r="C204" s="13">
        <v>765</v>
      </c>
      <c r="D204" s="38">
        <v>54080</v>
      </c>
      <c r="E204" s="39" t="s">
        <v>752</v>
      </c>
      <c r="F204" s="39"/>
    </row>
    <row r="205" spans="1:6" x14ac:dyDescent="0.3">
      <c r="D205" s="38"/>
      <c r="E205" s="39"/>
      <c r="F205" s="39"/>
    </row>
    <row r="206" spans="1:6" x14ac:dyDescent="0.3">
      <c r="D206" s="38"/>
      <c r="E206" s="39"/>
      <c r="F206" s="39"/>
    </row>
    <row r="207" spans="1:6" x14ac:dyDescent="0.3">
      <c r="D207" s="38"/>
      <c r="E207" s="39"/>
      <c r="F207" s="39"/>
    </row>
  </sheetData>
  <sortState xmlns:xlrd2="http://schemas.microsoft.com/office/spreadsheetml/2017/richdata2" ref="A2:C204">
    <sortCondition ref="A3:A20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CCD6-AF08-4137-B03E-9F2BA1DC86F2}">
  <sheetPr>
    <tabColor theme="5" tint="0.39997558519241921"/>
  </sheetPr>
  <dimension ref="A1:H769"/>
  <sheetViews>
    <sheetView zoomScale="175" zoomScaleNormal="175" zoomScalePageLayoutView="145" workbookViewId="0">
      <selection activeCell="G8" sqref="G8"/>
    </sheetView>
  </sheetViews>
  <sheetFormatPr defaultColWidth="9.33203125" defaultRowHeight="14.4" x14ac:dyDescent="0.3"/>
  <cols>
    <col min="1" max="1" width="15" style="14" customWidth="1"/>
    <col min="2" max="2" width="13.21875" style="14" customWidth="1"/>
    <col min="3" max="3" width="7.5546875" style="21" bestFit="1" customWidth="1"/>
    <col min="4" max="4" width="15.21875" style="22" customWidth="1"/>
    <col min="5" max="5" width="2.33203125" style="22" customWidth="1"/>
    <col min="6" max="6" width="25.77734375" style="14" customWidth="1"/>
    <col min="7" max="7" width="15.88671875" style="14" customWidth="1"/>
    <col min="8" max="8" width="17.88671875" style="14" customWidth="1"/>
    <col min="9" max="9" width="18.5546875" style="14" customWidth="1"/>
    <col min="10" max="10" width="16.33203125" style="14" customWidth="1"/>
    <col min="11" max="11" width="21.5546875" style="14" customWidth="1"/>
    <col min="12" max="16384" width="9.33203125" style="14"/>
  </cols>
  <sheetData>
    <row r="1" spans="1:8" x14ac:dyDescent="0.3">
      <c r="A1" s="17" t="s">
        <v>780</v>
      </c>
      <c r="B1" s="17" t="s">
        <v>781</v>
      </c>
      <c r="C1" s="18" t="s">
        <v>782</v>
      </c>
      <c r="D1" s="19" t="s">
        <v>756</v>
      </c>
      <c r="E1" s="20"/>
      <c r="F1" s="14" t="s">
        <v>824</v>
      </c>
    </row>
    <row r="2" spans="1:8" x14ac:dyDescent="0.3">
      <c r="A2" s="14" t="s">
        <v>852</v>
      </c>
      <c r="B2" s="14" t="s">
        <v>785</v>
      </c>
      <c r="C2" s="21">
        <v>9273</v>
      </c>
      <c r="D2" s="22">
        <v>45294</v>
      </c>
      <c r="F2" s="14" t="str">
        <f>"First sale from "&amp;F1</f>
        <v>First sale from Cincinnati</v>
      </c>
      <c r="G2" s="14">
        <f>_xlfn.XMATCH(F1,B:B)</f>
        <v>10</v>
      </c>
    </row>
    <row r="3" spans="1:8" x14ac:dyDescent="0.3">
      <c r="A3" s="14" t="s">
        <v>1354</v>
      </c>
      <c r="B3" s="14" t="s">
        <v>786</v>
      </c>
      <c r="C3" s="21">
        <v>5595</v>
      </c>
      <c r="D3" s="22">
        <v>45294</v>
      </c>
      <c r="F3" s="14" t="str">
        <f>"Last sale from "&amp;F1</f>
        <v>Last sale from Cincinnati</v>
      </c>
      <c r="G3" s="14">
        <f>_xlfn.XMATCH(F1,B:B,0,-1)</f>
        <v>755</v>
      </c>
    </row>
    <row r="4" spans="1:8" x14ac:dyDescent="0.3">
      <c r="A4" s="14" t="s">
        <v>267</v>
      </c>
      <c r="B4" s="14" t="s">
        <v>783</v>
      </c>
      <c r="C4" s="21">
        <v>6395</v>
      </c>
      <c r="D4" s="22">
        <v>45294</v>
      </c>
    </row>
    <row r="5" spans="1:8" x14ac:dyDescent="0.3">
      <c r="A5" s="14" t="s">
        <v>854</v>
      </c>
      <c r="B5" s="14" t="s">
        <v>784</v>
      </c>
      <c r="C5" s="21">
        <v>5207</v>
      </c>
      <c r="D5" s="22">
        <v>45294</v>
      </c>
      <c r="F5" s="14">
        <f>COUNTIFS(B:B,"Cincinnati")</f>
        <v>3</v>
      </c>
      <c r="G5" s="22"/>
    </row>
    <row r="6" spans="1:8" x14ac:dyDescent="0.3">
      <c r="A6" s="14" t="s">
        <v>788</v>
      </c>
      <c r="B6" s="14" t="s">
        <v>813</v>
      </c>
      <c r="C6" s="21">
        <v>6957</v>
      </c>
      <c r="D6" s="22">
        <v>45295</v>
      </c>
      <c r="G6" s="22"/>
    </row>
    <row r="7" spans="1:8" x14ac:dyDescent="0.3">
      <c r="A7" s="14" t="s">
        <v>646</v>
      </c>
      <c r="B7" s="14" t="s">
        <v>783</v>
      </c>
      <c r="C7" s="21">
        <v>14362</v>
      </c>
      <c r="D7" s="22">
        <v>45295</v>
      </c>
    </row>
    <row r="8" spans="1:8" x14ac:dyDescent="0.3">
      <c r="A8" s="14" t="s">
        <v>849</v>
      </c>
      <c r="B8" s="14" t="s">
        <v>784</v>
      </c>
      <c r="C8" s="21">
        <v>12791</v>
      </c>
      <c r="D8" s="22">
        <v>45295</v>
      </c>
    </row>
    <row r="9" spans="1:8" x14ac:dyDescent="0.3">
      <c r="A9" s="14" t="s">
        <v>855</v>
      </c>
      <c r="B9" s="14" t="s">
        <v>785</v>
      </c>
      <c r="C9" s="21">
        <v>7035</v>
      </c>
      <c r="D9" s="22">
        <v>45297</v>
      </c>
      <c r="H9" s="22"/>
    </row>
    <row r="10" spans="1:8" x14ac:dyDescent="0.3">
      <c r="A10" s="14" t="s">
        <v>826</v>
      </c>
      <c r="B10" s="14" t="s">
        <v>824</v>
      </c>
      <c r="C10" s="21">
        <v>9908</v>
      </c>
      <c r="D10" s="22">
        <v>45297</v>
      </c>
    </row>
    <row r="11" spans="1:8" x14ac:dyDescent="0.3">
      <c r="A11" s="14" t="s">
        <v>631</v>
      </c>
      <c r="B11" s="14" t="s">
        <v>785</v>
      </c>
      <c r="C11" s="21">
        <v>13031</v>
      </c>
      <c r="D11" s="22">
        <v>45297</v>
      </c>
    </row>
    <row r="12" spans="1:8" x14ac:dyDescent="0.3">
      <c r="A12" s="14" t="s">
        <v>853</v>
      </c>
      <c r="B12" s="14" t="s">
        <v>787</v>
      </c>
      <c r="C12" s="21">
        <v>12374</v>
      </c>
      <c r="D12" s="22">
        <v>45297</v>
      </c>
    </row>
    <row r="13" spans="1:8" x14ac:dyDescent="0.3">
      <c r="A13" s="14" t="s">
        <v>821</v>
      </c>
      <c r="B13" s="14" t="s">
        <v>824</v>
      </c>
      <c r="C13" s="21">
        <v>13758</v>
      </c>
      <c r="D13" s="22">
        <v>45297</v>
      </c>
    </row>
    <row r="14" spans="1:8" x14ac:dyDescent="0.3">
      <c r="A14" s="23" t="s">
        <v>743</v>
      </c>
      <c r="B14" s="14" t="s">
        <v>785</v>
      </c>
      <c r="C14" s="21">
        <v>13598</v>
      </c>
      <c r="D14" s="22">
        <v>45298</v>
      </c>
    </row>
    <row r="15" spans="1:8" x14ac:dyDescent="0.3">
      <c r="A15" s="14" t="s">
        <v>363</v>
      </c>
      <c r="B15" s="14" t="s">
        <v>785</v>
      </c>
      <c r="C15" s="21">
        <v>6313</v>
      </c>
      <c r="D15" s="22">
        <v>45298</v>
      </c>
    </row>
    <row r="16" spans="1:8" x14ac:dyDescent="0.3">
      <c r="A16" s="23" t="s">
        <v>747</v>
      </c>
      <c r="B16" s="14" t="s">
        <v>787</v>
      </c>
      <c r="C16" s="21">
        <v>14016</v>
      </c>
      <c r="D16" s="22">
        <v>45298</v>
      </c>
      <c r="G16" s="14" t="s">
        <v>851</v>
      </c>
    </row>
    <row r="17" spans="1:4" x14ac:dyDescent="0.3">
      <c r="A17" s="14" t="s">
        <v>384</v>
      </c>
      <c r="B17" s="14" t="s">
        <v>785</v>
      </c>
      <c r="C17" s="21">
        <v>9279</v>
      </c>
      <c r="D17" s="22">
        <v>45299</v>
      </c>
    </row>
    <row r="18" spans="1:4" x14ac:dyDescent="0.3">
      <c r="A18" s="14" t="s">
        <v>850</v>
      </c>
      <c r="B18" s="14" t="s">
        <v>783</v>
      </c>
      <c r="C18" s="21">
        <v>9967</v>
      </c>
      <c r="D18" s="22">
        <v>45299</v>
      </c>
    </row>
    <row r="19" spans="1:4" x14ac:dyDescent="0.3">
      <c r="A19" s="14" t="s">
        <v>519</v>
      </c>
      <c r="B19" s="14" t="s">
        <v>787</v>
      </c>
      <c r="C19" s="21">
        <v>14532</v>
      </c>
      <c r="D19" s="22">
        <v>45299</v>
      </c>
    </row>
    <row r="20" spans="1:4" x14ac:dyDescent="0.3">
      <c r="A20" s="14" t="s">
        <v>814</v>
      </c>
      <c r="B20" s="14" t="s">
        <v>813</v>
      </c>
      <c r="C20" s="21">
        <v>10774</v>
      </c>
      <c r="D20" s="22">
        <v>45300</v>
      </c>
    </row>
    <row r="21" spans="1:4" x14ac:dyDescent="0.3">
      <c r="A21" s="14" t="s">
        <v>373</v>
      </c>
      <c r="B21" s="14" t="s">
        <v>787</v>
      </c>
      <c r="C21" s="21">
        <v>6875</v>
      </c>
      <c r="D21" s="22">
        <v>45300</v>
      </c>
    </row>
    <row r="22" spans="1:4" x14ac:dyDescent="0.3">
      <c r="A22" s="14" t="s">
        <v>576</v>
      </c>
      <c r="B22" s="14" t="s">
        <v>787</v>
      </c>
      <c r="C22" s="21">
        <v>15816</v>
      </c>
      <c r="D22" s="22">
        <v>45301</v>
      </c>
    </row>
    <row r="23" spans="1:4" x14ac:dyDescent="0.3">
      <c r="A23" s="14" t="s">
        <v>127</v>
      </c>
      <c r="B23" s="14" t="s">
        <v>785</v>
      </c>
      <c r="C23" s="21">
        <v>12507</v>
      </c>
      <c r="D23" s="22">
        <v>45302</v>
      </c>
    </row>
    <row r="24" spans="1:4" x14ac:dyDescent="0.3">
      <c r="A24" s="14" t="s">
        <v>432</v>
      </c>
      <c r="B24" s="14" t="s">
        <v>785</v>
      </c>
      <c r="C24" s="21">
        <v>6931</v>
      </c>
      <c r="D24" s="22">
        <v>45302</v>
      </c>
    </row>
    <row r="25" spans="1:4" x14ac:dyDescent="0.3">
      <c r="A25" s="14" t="s">
        <v>227</v>
      </c>
      <c r="B25" s="14" t="s">
        <v>785</v>
      </c>
      <c r="C25" s="21">
        <v>5816</v>
      </c>
      <c r="D25" s="22">
        <v>45302</v>
      </c>
    </row>
    <row r="26" spans="1:4" x14ac:dyDescent="0.3">
      <c r="A26" s="14" t="s">
        <v>441</v>
      </c>
      <c r="B26" s="14" t="s">
        <v>786</v>
      </c>
      <c r="C26" s="21">
        <v>5062</v>
      </c>
      <c r="D26" s="22">
        <v>45302</v>
      </c>
    </row>
    <row r="27" spans="1:4" x14ac:dyDescent="0.3">
      <c r="A27" s="14" t="s">
        <v>537</v>
      </c>
      <c r="B27" s="14" t="s">
        <v>783</v>
      </c>
      <c r="C27" s="21">
        <v>10219</v>
      </c>
      <c r="D27" s="22">
        <v>45302</v>
      </c>
    </row>
    <row r="28" spans="1:4" x14ac:dyDescent="0.3">
      <c r="A28" s="14" t="s">
        <v>544</v>
      </c>
      <c r="B28" s="14" t="s">
        <v>787</v>
      </c>
      <c r="C28" s="21">
        <v>10608</v>
      </c>
      <c r="D28" s="22">
        <v>45302</v>
      </c>
    </row>
    <row r="29" spans="1:4" x14ac:dyDescent="0.3">
      <c r="A29" s="14" t="s">
        <v>659</v>
      </c>
      <c r="B29" s="14" t="s">
        <v>787</v>
      </c>
      <c r="C29" s="21">
        <v>16877</v>
      </c>
      <c r="D29" s="22">
        <v>45303</v>
      </c>
    </row>
    <row r="30" spans="1:4" x14ac:dyDescent="0.3">
      <c r="A30" s="14" t="s">
        <v>632</v>
      </c>
      <c r="B30" s="14" t="s">
        <v>787</v>
      </c>
      <c r="C30" s="21">
        <v>7895</v>
      </c>
      <c r="D30" s="22">
        <v>45304</v>
      </c>
    </row>
    <row r="31" spans="1:4" x14ac:dyDescent="0.3">
      <c r="A31" s="14" t="s">
        <v>770</v>
      </c>
      <c r="B31" s="14" t="s">
        <v>784</v>
      </c>
      <c r="C31" s="21">
        <v>8860</v>
      </c>
      <c r="D31" s="22">
        <v>45304</v>
      </c>
    </row>
    <row r="32" spans="1:4" x14ac:dyDescent="0.3">
      <c r="A32" s="14" t="s">
        <v>691</v>
      </c>
      <c r="B32" s="14" t="s">
        <v>784</v>
      </c>
      <c r="C32" s="21">
        <v>15548</v>
      </c>
      <c r="D32" s="22">
        <v>45304</v>
      </c>
    </row>
    <row r="33" spans="1:4" x14ac:dyDescent="0.3">
      <c r="A33" s="14" t="s">
        <v>91</v>
      </c>
      <c r="B33" s="14" t="s">
        <v>786</v>
      </c>
      <c r="C33" s="21">
        <v>16976</v>
      </c>
      <c r="D33" s="22">
        <v>45305</v>
      </c>
    </row>
    <row r="34" spans="1:4" x14ac:dyDescent="0.3">
      <c r="A34" s="23" t="s">
        <v>746</v>
      </c>
      <c r="B34" s="14" t="s">
        <v>783</v>
      </c>
      <c r="C34" s="21">
        <v>10521</v>
      </c>
      <c r="D34" s="22">
        <v>45305</v>
      </c>
    </row>
    <row r="35" spans="1:4" x14ac:dyDescent="0.3">
      <c r="A35" s="14" t="s">
        <v>137</v>
      </c>
      <c r="B35" s="14" t="s">
        <v>785</v>
      </c>
      <c r="C35" s="21">
        <v>13238</v>
      </c>
      <c r="D35" s="22">
        <v>45306</v>
      </c>
    </row>
    <row r="36" spans="1:4" x14ac:dyDescent="0.3">
      <c r="A36" s="14" t="s">
        <v>374</v>
      </c>
      <c r="B36" s="14" t="s">
        <v>784</v>
      </c>
      <c r="C36" s="21">
        <v>6716</v>
      </c>
      <c r="D36" s="22">
        <v>45306</v>
      </c>
    </row>
    <row r="37" spans="1:4" x14ac:dyDescent="0.3">
      <c r="A37" s="14" t="s">
        <v>480</v>
      </c>
      <c r="B37" s="14" t="s">
        <v>786</v>
      </c>
      <c r="C37" s="21">
        <v>9141</v>
      </c>
      <c r="D37" s="22">
        <v>45307</v>
      </c>
    </row>
    <row r="38" spans="1:4" x14ac:dyDescent="0.3">
      <c r="A38" s="14" t="s">
        <v>358</v>
      </c>
      <c r="B38" s="14" t="s">
        <v>812</v>
      </c>
      <c r="C38" s="21">
        <v>11185</v>
      </c>
      <c r="D38" s="22">
        <v>45307</v>
      </c>
    </row>
    <row r="39" spans="1:4" x14ac:dyDescent="0.3">
      <c r="A39" s="14" t="s">
        <v>345</v>
      </c>
      <c r="B39" s="14" t="s">
        <v>783</v>
      </c>
      <c r="C39" s="21">
        <v>11192</v>
      </c>
      <c r="D39" s="22">
        <v>45307</v>
      </c>
    </row>
    <row r="40" spans="1:4" x14ac:dyDescent="0.3">
      <c r="A40" s="14" t="s">
        <v>405</v>
      </c>
      <c r="B40" s="14" t="s">
        <v>784</v>
      </c>
      <c r="C40" s="21">
        <v>15688</v>
      </c>
      <c r="D40" s="22">
        <v>45307</v>
      </c>
    </row>
    <row r="41" spans="1:4" x14ac:dyDescent="0.3">
      <c r="A41" s="14" t="s">
        <v>590</v>
      </c>
      <c r="B41" s="14" t="s">
        <v>783</v>
      </c>
      <c r="C41" s="21">
        <v>12414</v>
      </c>
      <c r="D41" s="22">
        <v>45308</v>
      </c>
    </row>
    <row r="42" spans="1:4" x14ac:dyDescent="0.3">
      <c r="A42" s="14" t="s">
        <v>568</v>
      </c>
      <c r="B42" s="14" t="s">
        <v>787</v>
      </c>
      <c r="C42" s="21">
        <v>9853</v>
      </c>
      <c r="D42" s="22">
        <v>45309</v>
      </c>
    </row>
    <row r="43" spans="1:4" x14ac:dyDescent="0.3">
      <c r="A43" s="14" t="s">
        <v>351</v>
      </c>
      <c r="B43" s="14" t="s">
        <v>787</v>
      </c>
      <c r="C43" s="21">
        <v>12223</v>
      </c>
      <c r="D43" s="22">
        <v>45309</v>
      </c>
    </row>
    <row r="44" spans="1:4" x14ac:dyDescent="0.3">
      <c r="A44" s="14" t="s">
        <v>575</v>
      </c>
      <c r="B44" s="14" t="s">
        <v>785</v>
      </c>
      <c r="C44" s="21">
        <v>10414</v>
      </c>
      <c r="D44" s="22">
        <v>45310</v>
      </c>
    </row>
    <row r="45" spans="1:4" x14ac:dyDescent="0.3">
      <c r="A45" s="14" t="s">
        <v>184</v>
      </c>
      <c r="B45" s="14" t="s">
        <v>812</v>
      </c>
      <c r="C45" s="21">
        <v>12222</v>
      </c>
      <c r="D45" s="22">
        <v>45310</v>
      </c>
    </row>
    <row r="46" spans="1:4" x14ac:dyDescent="0.3">
      <c r="A46" s="14" t="s">
        <v>395</v>
      </c>
      <c r="B46" s="14" t="s">
        <v>785</v>
      </c>
      <c r="C46" s="21">
        <v>6732</v>
      </c>
      <c r="D46" s="22">
        <v>45311</v>
      </c>
    </row>
    <row r="47" spans="1:4" x14ac:dyDescent="0.3">
      <c r="A47" s="14" t="s">
        <v>466</v>
      </c>
      <c r="B47" s="14" t="s">
        <v>785</v>
      </c>
      <c r="C47" s="21">
        <v>15355</v>
      </c>
      <c r="D47" s="22">
        <v>45311</v>
      </c>
    </row>
    <row r="48" spans="1:4" x14ac:dyDescent="0.3">
      <c r="A48" s="14" t="s">
        <v>601</v>
      </c>
      <c r="B48" s="14" t="s">
        <v>786</v>
      </c>
      <c r="C48" s="21">
        <v>7505</v>
      </c>
      <c r="D48" s="22">
        <v>45311</v>
      </c>
    </row>
    <row r="49" spans="1:4" x14ac:dyDescent="0.3">
      <c r="A49" s="14" t="s">
        <v>122</v>
      </c>
      <c r="B49" s="14" t="s">
        <v>785</v>
      </c>
      <c r="C49" s="21">
        <v>7477</v>
      </c>
      <c r="D49" s="22">
        <v>45312</v>
      </c>
    </row>
    <row r="50" spans="1:4" x14ac:dyDescent="0.3">
      <c r="A50" s="14" t="s">
        <v>306</v>
      </c>
      <c r="B50" s="14" t="s">
        <v>785</v>
      </c>
      <c r="C50" s="21">
        <v>9879</v>
      </c>
      <c r="D50" s="22">
        <v>45312</v>
      </c>
    </row>
    <row r="51" spans="1:4" x14ac:dyDescent="0.3">
      <c r="A51" s="14" t="s">
        <v>536</v>
      </c>
      <c r="B51" s="14" t="s">
        <v>787</v>
      </c>
      <c r="C51" s="21">
        <v>13657</v>
      </c>
      <c r="D51" s="22">
        <v>45312</v>
      </c>
    </row>
    <row r="52" spans="1:4" x14ac:dyDescent="0.3">
      <c r="A52" s="14" t="s">
        <v>189</v>
      </c>
      <c r="B52" s="14" t="s">
        <v>785</v>
      </c>
      <c r="C52" s="21">
        <v>7421</v>
      </c>
      <c r="D52" s="22">
        <v>45313</v>
      </c>
    </row>
    <row r="53" spans="1:4" x14ac:dyDescent="0.3">
      <c r="A53" s="14" t="s">
        <v>346</v>
      </c>
      <c r="B53" s="14" t="s">
        <v>785</v>
      </c>
      <c r="C53" s="21">
        <v>10649</v>
      </c>
      <c r="D53" s="22">
        <v>45313</v>
      </c>
    </row>
    <row r="54" spans="1:4" x14ac:dyDescent="0.3">
      <c r="A54" s="14" t="s">
        <v>585</v>
      </c>
      <c r="B54" s="14" t="s">
        <v>784</v>
      </c>
      <c r="C54" s="21">
        <v>8998</v>
      </c>
      <c r="D54" s="22">
        <v>45313</v>
      </c>
    </row>
    <row r="55" spans="1:4" x14ac:dyDescent="0.3">
      <c r="A55" s="14" t="s">
        <v>167</v>
      </c>
      <c r="B55" s="14" t="s">
        <v>785</v>
      </c>
      <c r="C55" s="21">
        <v>12135</v>
      </c>
      <c r="D55" s="22">
        <v>45314</v>
      </c>
    </row>
    <row r="56" spans="1:4" x14ac:dyDescent="0.3">
      <c r="A56" s="14" t="s">
        <v>300</v>
      </c>
      <c r="B56" s="14" t="s">
        <v>785</v>
      </c>
      <c r="C56" s="21">
        <v>5018</v>
      </c>
      <c r="D56" s="22">
        <v>45314</v>
      </c>
    </row>
    <row r="57" spans="1:4" x14ac:dyDescent="0.3">
      <c r="A57" s="14" t="s">
        <v>724</v>
      </c>
      <c r="B57" s="14" t="s">
        <v>783</v>
      </c>
      <c r="C57" s="21">
        <v>6284</v>
      </c>
      <c r="D57" s="22">
        <v>45314</v>
      </c>
    </row>
    <row r="58" spans="1:4" x14ac:dyDescent="0.3">
      <c r="A58" s="14" t="s">
        <v>148</v>
      </c>
      <c r="B58" s="14" t="s">
        <v>783</v>
      </c>
      <c r="C58" s="21">
        <v>6721</v>
      </c>
      <c r="D58" s="22">
        <v>45314</v>
      </c>
    </row>
    <row r="59" spans="1:4" x14ac:dyDescent="0.3">
      <c r="A59" s="14" t="s">
        <v>738</v>
      </c>
      <c r="B59" s="14" t="s">
        <v>785</v>
      </c>
      <c r="C59" s="21">
        <v>10460</v>
      </c>
      <c r="D59" s="22">
        <v>45315</v>
      </c>
    </row>
    <row r="60" spans="1:4" x14ac:dyDescent="0.3">
      <c r="A60" s="14" t="s">
        <v>415</v>
      </c>
      <c r="B60" s="14" t="s">
        <v>783</v>
      </c>
      <c r="C60" s="21">
        <v>14207</v>
      </c>
      <c r="D60" s="22">
        <v>45315</v>
      </c>
    </row>
    <row r="61" spans="1:4" x14ac:dyDescent="0.3">
      <c r="A61" s="14" t="s">
        <v>202</v>
      </c>
      <c r="B61" s="14" t="s">
        <v>783</v>
      </c>
      <c r="C61" s="21">
        <v>16938</v>
      </c>
      <c r="D61" s="22">
        <v>45315</v>
      </c>
    </row>
    <row r="62" spans="1:4" x14ac:dyDescent="0.3">
      <c r="A62" s="14" t="s">
        <v>660</v>
      </c>
      <c r="B62" s="14" t="s">
        <v>787</v>
      </c>
      <c r="C62" s="21">
        <v>7700</v>
      </c>
      <c r="D62" s="22">
        <v>45315</v>
      </c>
    </row>
    <row r="63" spans="1:4" x14ac:dyDescent="0.3">
      <c r="A63" s="14" t="s">
        <v>742</v>
      </c>
      <c r="B63" s="14" t="s">
        <v>787</v>
      </c>
      <c r="C63" s="21">
        <v>16846</v>
      </c>
      <c r="D63" s="22">
        <v>45315</v>
      </c>
    </row>
    <row r="64" spans="1:4" x14ac:dyDescent="0.3">
      <c r="A64" s="14" t="s">
        <v>84</v>
      </c>
      <c r="B64" s="14" t="s">
        <v>787</v>
      </c>
      <c r="C64" s="21">
        <v>9891</v>
      </c>
      <c r="D64" s="22">
        <v>45316</v>
      </c>
    </row>
    <row r="65" spans="1:4" x14ac:dyDescent="0.3">
      <c r="A65" s="14" t="s">
        <v>490</v>
      </c>
      <c r="B65" s="14" t="s">
        <v>787</v>
      </c>
      <c r="C65" s="21">
        <v>10419</v>
      </c>
      <c r="D65" s="22">
        <v>45316</v>
      </c>
    </row>
    <row r="66" spans="1:4" x14ac:dyDescent="0.3">
      <c r="A66" s="14" t="s">
        <v>816</v>
      </c>
      <c r="B66" s="14" t="s">
        <v>812</v>
      </c>
      <c r="C66" s="21">
        <v>7073</v>
      </c>
      <c r="D66" s="22">
        <v>45317</v>
      </c>
    </row>
    <row r="67" spans="1:4" x14ac:dyDescent="0.3">
      <c r="A67" s="14" t="s">
        <v>690</v>
      </c>
      <c r="B67" s="14" t="s">
        <v>783</v>
      </c>
      <c r="C67" s="21">
        <v>13543</v>
      </c>
      <c r="D67" s="22">
        <v>45318</v>
      </c>
    </row>
    <row r="68" spans="1:4" x14ac:dyDescent="0.3">
      <c r="A68" s="14" t="s">
        <v>526</v>
      </c>
      <c r="B68" s="14" t="s">
        <v>786</v>
      </c>
      <c r="C68" s="21">
        <v>11883</v>
      </c>
      <c r="D68" s="22">
        <v>45319</v>
      </c>
    </row>
    <row r="69" spans="1:4" x14ac:dyDescent="0.3">
      <c r="A69" s="14" t="s">
        <v>769</v>
      </c>
      <c r="B69" s="14" t="s">
        <v>785</v>
      </c>
      <c r="C69" s="21">
        <v>16830</v>
      </c>
      <c r="D69" s="22">
        <v>45320</v>
      </c>
    </row>
    <row r="70" spans="1:4" x14ac:dyDescent="0.3">
      <c r="A70" s="14" t="s">
        <v>772</v>
      </c>
      <c r="B70" s="14" t="s">
        <v>785</v>
      </c>
      <c r="C70" s="21">
        <v>13377</v>
      </c>
      <c r="D70" s="22">
        <v>45320</v>
      </c>
    </row>
    <row r="71" spans="1:4" x14ac:dyDescent="0.3">
      <c r="A71" s="14" t="s">
        <v>21</v>
      </c>
      <c r="B71" s="14" t="s">
        <v>785</v>
      </c>
      <c r="C71" s="21">
        <v>14241</v>
      </c>
      <c r="D71" s="22">
        <v>45320</v>
      </c>
    </row>
    <row r="72" spans="1:4" x14ac:dyDescent="0.3">
      <c r="A72" s="14" t="s">
        <v>539</v>
      </c>
      <c r="B72" s="14" t="s">
        <v>784</v>
      </c>
      <c r="C72" s="21">
        <v>5226</v>
      </c>
      <c r="D72" s="22">
        <v>45320</v>
      </c>
    </row>
    <row r="73" spans="1:4" x14ac:dyDescent="0.3">
      <c r="A73" s="14" t="s">
        <v>350</v>
      </c>
      <c r="B73" s="14" t="s">
        <v>784</v>
      </c>
      <c r="C73" s="21">
        <v>11444</v>
      </c>
      <c r="D73" s="22">
        <v>45320</v>
      </c>
    </row>
    <row r="74" spans="1:4" x14ac:dyDescent="0.3">
      <c r="A74" s="14" t="s">
        <v>406</v>
      </c>
      <c r="B74" s="14" t="s">
        <v>787</v>
      </c>
      <c r="C74" s="21">
        <v>10182</v>
      </c>
      <c r="D74" s="22">
        <v>45321</v>
      </c>
    </row>
    <row r="75" spans="1:4" x14ac:dyDescent="0.3">
      <c r="A75" s="14" t="s">
        <v>99</v>
      </c>
      <c r="B75" s="14" t="s">
        <v>787</v>
      </c>
      <c r="C75" s="21">
        <v>11697</v>
      </c>
      <c r="D75" s="22">
        <v>45321</v>
      </c>
    </row>
    <row r="76" spans="1:4" x14ac:dyDescent="0.3">
      <c r="A76" s="14" t="s">
        <v>521</v>
      </c>
      <c r="B76" s="14" t="s">
        <v>785</v>
      </c>
      <c r="C76" s="21">
        <v>9583</v>
      </c>
      <c r="D76" s="22">
        <v>45326</v>
      </c>
    </row>
    <row r="77" spans="1:4" x14ac:dyDescent="0.3">
      <c r="A77" s="14" t="s">
        <v>269</v>
      </c>
      <c r="B77" s="14" t="s">
        <v>787</v>
      </c>
      <c r="C77" s="21">
        <v>12271</v>
      </c>
      <c r="D77" s="22">
        <v>45327</v>
      </c>
    </row>
    <row r="78" spans="1:4" x14ac:dyDescent="0.3">
      <c r="A78" s="14" t="s">
        <v>548</v>
      </c>
      <c r="B78" s="14" t="s">
        <v>785</v>
      </c>
      <c r="C78" s="21">
        <v>12897</v>
      </c>
      <c r="D78" s="22">
        <v>45328</v>
      </c>
    </row>
    <row r="79" spans="1:4" x14ac:dyDescent="0.3">
      <c r="A79" s="14" t="s">
        <v>427</v>
      </c>
      <c r="B79" s="14" t="s">
        <v>787</v>
      </c>
      <c r="C79" s="21">
        <v>5059</v>
      </c>
      <c r="D79" s="22">
        <v>45329</v>
      </c>
    </row>
    <row r="80" spans="1:4" x14ac:dyDescent="0.3">
      <c r="A80" s="14" t="s">
        <v>603</v>
      </c>
      <c r="B80" s="14" t="s">
        <v>786</v>
      </c>
      <c r="C80" s="21">
        <v>14545</v>
      </c>
      <c r="D80" s="22">
        <v>45330</v>
      </c>
    </row>
    <row r="81" spans="1:4" x14ac:dyDescent="0.3">
      <c r="A81" s="14" t="s">
        <v>647</v>
      </c>
      <c r="B81" s="14" t="s">
        <v>786</v>
      </c>
      <c r="C81" s="21">
        <v>11735</v>
      </c>
      <c r="D81" s="22">
        <v>45330</v>
      </c>
    </row>
    <row r="82" spans="1:4" x14ac:dyDescent="0.3">
      <c r="A82" s="14" t="s">
        <v>271</v>
      </c>
      <c r="B82" s="14" t="s">
        <v>783</v>
      </c>
      <c r="C82" s="21">
        <v>6527</v>
      </c>
      <c r="D82" s="22">
        <v>45330</v>
      </c>
    </row>
    <row r="83" spans="1:4" x14ac:dyDescent="0.3">
      <c r="A83" s="14" t="s">
        <v>30</v>
      </c>
      <c r="B83" s="14" t="s">
        <v>783</v>
      </c>
      <c r="C83" s="21">
        <v>6391</v>
      </c>
      <c r="D83" s="22">
        <v>45331</v>
      </c>
    </row>
    <row r="84" spans="1:4" x14ac:dyDescent="0.3">
      <c r="A84" s="14" t="s">
        <v>674</v>
      </c>
      <c r="B84" s="14" t="s">
        <v>784</v>
      </c>
      <c r="C84" s="21">
        <v>6088</v>
      </c>
      <c r="D84" s="22">
        <v>45331</v>
      </c>
    </row>
    <row r="85" spans="1:4" x14ac:dyDescent="0.3">
      <c r="A85" s="14" t="s">
        <v>280</v>
      </c>
      <c r="B85" s="14" t="s">
        <v>784</v>
      </c>
      <c r="C85" s="21">
        <v>6219</v>
      </c>
      <c r="D85" s="22">
        <v>45331</v>
      </c>
    </row>
    <row r="86" spans="1:4" x14ac:dyDescent="0.3">
      <c r="A86" s="14" t="s">
        <v>41</v>
      </c>
      <c r="B86" s="14" t="s">
        <v>783</v>
      </c>
      <c r="C86" s="21">
        <v>7671</v>
      </c>
      <c r="D86" s="22">
        <v>45332</v>
      </c>
    </row>
    <row r="87" spans="1:4" x14ac:dyDescent="0.3">
      <c r="A87" s="14" t="s">
        <v>516</v>
      </c>
      <c r="B87" s="14" t="s">
        <v>785</v>
      </c>
      <c r="C87" s="21">
        <v>11629</v>
      </c>
      <c r="D87" s="22">
        <v>45333</v>
      </c>
    </row>
    <row r="88" spans="1:4" x14ac:dyDescent="0.3">
      <c r="A88" s="14" t="s">
        <v>220</v>
      </c>
      <c r="B88" s="14" t="s">
        <v>785</v>
      </c>
      <c r="C88" s="21">
        <v>13764</v>
      </c>
      <c r="D88" s="22">
        <v>45334</v>
      </c>
    </row>
    <row r="89" spans="1:4" x14ac:dyDescent="0.3">
      <c r="A89" s="14" t="s">
        <v>510</v>
      </c>
      <c r="B89" s="14" t="s">
        <v>785</v>
      </c>
      <c r="C89" s="21">
        <v>6984</v>
      </c>
      <c r="D89" s="22">
        <v>45335</v>
      </c>
    </row>
    <row r="90" spans="1:4" x14ac:dyDescent="0.3">
      <c r="A90" s="14" t="s">
        <v>361</v>
      </c>
      <c r="B90" s="14" t="s">
        <v>786</v>
      </c>
      <c r="C90" s="21">
        <v>14702</v>
      </c>
      <c r="D90" s="22">
        <v>45336</v>
      </c>
    </row>
    <row r="91" spans="1:4" x14ac:dyDescent="0.3">
      <c r="A91" s="14" t="s">
        <v>418</v>
      </c>
      <c r="B91" s="14" t="s">
        <v>787</v>
      </c>
      <c r="C91" s="21">
        <v>8855</v>
      </c>
      <c r="D91" s="22">
        <v>45337</v>
      </c>
    </row>
    <row r="92" spans="1:4" x14ac:dyDescent="0.3">
      <c r="A92" s="14" t="s">
        <v>82</v>
      </c>
      <c r="B92" s="14" t="s">
        <v>783</v>
      </c>
      <c r="C92" s="21">
        <v>12973</v>
      </c>
      <c r="D92" s="22">
        <v>45338</v>
      </c>
    </row>
    <row r="93" spans="1:4" x14ac:dyDescent="0.3">
      <c r="A93" s="14" t="s">
        <v>225</v>
      </c>
      <c r="B93" s="14" t="s">
        <v>785</v>
      </c>
      <c r="C93" s="21">
        <v>16024</v>
      </c>
      <c r="D93" s="22">
        <v>45339</v>
      </c>
    </row>
    <row r="94" spans="1:4" x14ac:dyDescent="0.3">
      <c r="A94" s="14" t="s">
        <v>48</v>
      </c>
      <c r="B94" s="14" t="s">
        <v>785</v>
      </c>
      <c r="C94" s="21">
        <v>9099</v>
      </c>
      <c r="D94" s="22">
        <v>45339</v>
      </c>
    </row>
    <row r="95" spans="1:4" x14ac:dyDescent="0.3">
      <c r="A95" s="14" t="s">
        <v>535</v>
      </c>
      <c r="B95" s="14" t="s">
        <v>787</v>
      </c>
      <c r="C95" s="21">
        <v>5059</v>
      </c>
      <c r="D95" s="22">
        <v>45339</v>
      </c>
    </row>
    <row r="96" spans="1:4" x14ac:dyDescent="0.3">
      <c r="A96" s="14" t="s">
        <v>423</v>
      </c>
      <c r="B96" s="14" t="s">
        <v>787</v>
      </c>
      <c r="C96" s="21">
        <v>16439</v>
      </c>
      <c r="D96" s="22">
        <v>45340</v>
      </c>
    </row>
    <row r="97" spans="1:4" x14ac:dyDescent="0.3">
      <c r="A97" s="14" t="s">
        <v>38</v>
      </c>
      <c r="B97" s="14" t="s">
        <v>787</v>
      </c>
      <c r="C97" s="21">
        <v>5521</v>
      </c>
      <c r="D97" s="22">
        <v>45340</v>
      </c>
    </row>
    <row r="98" spans="1:4" x14ac:dyDescent="0.3">
      <c r="A98" s="14" t="s">
        <v>297</v>
      </c>
      <c r="B98" s="14" t="s">
        <v>784</v>
      </c>
      <c r="C98" s="21">
        <v>9704</v>
      </c>
      <c r="D98" s="22">
        <v>45340</v>
      </c>
    </row>
    <row r="99" spans="1:4" x14ac:dyDescent="0.3">
      <c r="A99" s="14" t="s">
        <v>608</v>
      </c>
      <c r="B99" s="14" t="s">
        <v>785</v>
      </c>
      <c r="C99" s="21">
        <v>12579</v>
      </c>
      <c r="D99" s="22">
        <v>45341</v>
      </c>
    </row>
    <row r="100" spans="1:4" x14ac:dyDescent="0.3">
      <c r="A100" s="14" t="s">
        <v>419</v>
      </c>
      <c r="B100" s="14" t="s">
        <v>812</v>
      </c>
      <c r="C100" s="21">
        <v>14617</v>
      </c>
      <c r="D100" s="22">
        <v>45341</v>
      </c>
    </row>
    <row r="101" spans="1:4" x14ac:dyDescent="0.3">
      <c r="A101" s="14" t="s">
        <v>129</v>
      </c>
      <c r="B101" s="14" t="s">
        <v>783</v>
      </c>
      <c r="C101" s="21">
        <v>7419</v>
      </c>
      <c r="D101" s="22">
        <v>45341</v>
      </c>
    </row>
    <row r="102" spans="1:4" x14ac:dyDescent="0.3">
      <c r="A102" s="14" t="s">
        <v>28</v>
      </c>
      <c r="B102" s="14" t="s">
        <v>787</v>
      </c>
      <c r="C102" s="21">
        <v>11166</v>
      </c>
      <c r="D102" s="22">
        <v>45341</v>
      </c>
    </row>
    <row r="103" spans="1:4" x14ac:dyDescent="0.3">
      <c r="A103" s="14" t="s">
        <v>524</v>
      </c>
      <c r="B103" s="14" t="s">
        <v>784</v>
      </c>
      <c r="C103" s="21">
        <v>13630</v>
      </c>
      <c r="D103" s="22">
        <v>45341</v>
      </c>
    </row>
    <row r="104" spans="1:4" x14ac:dyDescent="0.3">
      <c r="A104" s="14" t="s">
        <v>452</v>
      </c>
      <c r="B104" s="14" t="s">
        <v>785</v>
      </c>
      <c r="C104" s="21">
        <v>14849</v>
      </c>
      <c r="D104" s="22">
        <v>45342</v>
      </c>
    </row>
    <row r="105" spans="1:4" x14ac:dyDescent="0.3">
      <c r="A105" s="14" t="s">
        <v>638</v>
      </c>
      <c r="B105" s="14" t="s">
        <v>786</v>
      </c>
      <c r="C105" s="21">
        <v>12499</v>
      </c>
      <c r="D105" s="22">
        <v>45342</v>
      </c>
    </row>
    <row r="106" spans="1:4" x14ac:dyDescent="0.3">
      <c r="A106" s="14" t="s">
        <v>183</v>
      </c>
      <c r="B106" s="14" t="s">
        <v>787</v>
      </c>
      <c r="C106" s="21">
        <v>14838</v>
      </c>
      <c r="D106" s="22">
        <v>45342</v>
      </c>
    </row>
    <row r="107" spans="1:4" x14ac:dyDescent="0.3">
      <c r="A107" s="14" t="s">
        <v>711</v>
      </c>
      <c r="B107" s="14" t="s">
        <v>787</v>
      </c>
      <c r="C107" s="21">
        <v>6933</v>
      </c>
      <c r="D107" s="22">
        <v>45342</v>
      </c>
    </row>
    <row r="108" spans="1:4" x14ac:dyDescent="0.3">
      <c r="A108" s="14" t="s">
        <v>365</v>
      </c>
      <c r="B108" s="14" t="s">
        <v>787</v>
      </c>
      <c r="C108" s="21">
        <v>13857</v>
      </c>
      <c r="D108" s="22">
        <v>45342</v>
      </c>
    </row>
    <row r="109" spans="1:4" x14ac:dyDescent="0.3">
      <c r="A109" s="14" t="s">
        <v>338</v>
      </c>
      <c r="B109" s="14" t="s">
        <v>787</v>
      </c>
      <c r="C109" s="21">
        <v>7116</v>
      </c>
      <c r="D109" s="22">
        <v>45342</v>
      </c>
    </row>
    <row r="110" spans="1:4" x14ac:dyDescent="0.3">
      <c r="A110" s="14" t="s">
        <v>540</v>
      </c>
      <c r="B110" s="14" t="s">
        <v>787</v>
      </c>
      <c r="C110" s="21">
        <v>11592</v>
      </c>
      <c r="D110" s="22">
        <v>45342</v>
      </c>
    </row>
    <row r="111" spans="1:4" x14ac:dyDescent="0.3">
      <c r="A111" s="14" t="s">
        <v>789</v>
      </c>
      <c r="B111" s="14" t="s">
        <v>785</v>
      </c>
      <c r="C111" s="21">
        <v>5316</v>
      </c>
      <c r="D111" s="22">
        <v>45343</v>
      </c>
    </row>
    <row r="112" spans="1:4" x14ac:dyDescent="0.3">
      <c r="A112" s="14" t="s">
        <v>456</v>
      </c>
      <c r="B112" s="14" t="s">
        <v>783</v>
      </c>
      <c r="C112" s="21">
        <v>5900</v>
      </c>
      <c r="D112" s="22">
        <v>45343</v>
      </c>
    </row>
    <row r="113" spans="1:4" x14ac:dyDescent="0.3">
      <c r="A113" s="14" t="s">
        <v>333</v>
      </c>
      <c r="B113" s="14" t="s">
        <v>787</v>
      </c>
      <c r="C113" s="21">
        <v>16560</v>
      </c>
      <c r="D113" s="22">
        <v>45343</v>
      </c>
    </row>
    <row r="114" spans="1:4" x14ac:dyDescent="0.3">
      <c r="A114" s="14" t="s">
        <v>708</v>
      </c>
      <c r="B114" s="14" t="s">
        <v>784</v>
      </c>
      <c r="C114" s="21">
        <v>12993</v>
      </c>
      <c r="D114" s="22">
        <v>45343</v>
      </c>
    </row>
    <row r="115" spans="1:4" x14ac:dyDescent="0.3">
      <c r="A115" s="14" t="s">
        <v>25</v>
      </c>
      <c r="B115" s="14" t="s">
        <v>783</v>
      </c>
      <c r="C115" s="21">
        <v>16925</v>
      </c>
      <c r="D115" s="22">
        <v>45344</v>
      </c>
    </row>
    <row r="116" spans="1:4" x14ac:dyDescent="0.3">
      <c r="A116" s="14" t="s">
        <v>450</v>
      </c>
      <c r="B116" s="14" t="s">
        <v>787</v>
      </c>
      <c r="C116" s="21">
        <v>8691</v>
      </c>
      <c r="D116" s="22">
        <v>45344</v>
      </c>
    </row>
    <row r="117" spans="1:4" x14ac:dyDescent="0.3">
      <c r="A117" s="14" t="s">
        <v>252</v>
      </c>
      <c r="B117" s="14" t="s">
        <v>787</v>
      </c>
      <c r="C117" s="21">
        <v>9599</v>
      </c>
      <c r="D117" s="22">
        <v>45344</v>
      </c>
    </row>
    <row r="118" spans="1:4" x14ac:dyDescent="0.3">
      <c r="A118" s="14" t="s">
        <v>344</v>
      </c>
      <c r="B118" s="14" t="s">
        <v>784</v>
      </c>
      <c r="C118" s="21">
        <v>12144</v>
      </c>
      <c r="D118" s="22">
        <v>45344</v>
      </c>
    </row>
    <row r="119" spans="1:4" x14ac:dyDescent="0.3">
      <c r="A119" s="14" t="s">
        <v>312</v>
      </c>
      <c r="B119" s="14" t="s">
        <v>785</v>
      </c>
      <c r="C119" s="21">
        <v>15226</v>
      </c>
      <c r="D119" s="22">
        <v>45345</v>
      </c>
    </row>
    <row r="120" spans="1:4" x14ac:dyDescent="0.3">
      <c r="A120" s="14" t="s">
        <v>121</v>
      </c>
      <c r="B120" s="14" t="s">
        <v>785</v>
      </c>
      <c r="C120" s="21">
        <v>10366</v>
      </c>
      <c r="D120" s="22">
        <v>45345</v>
      </c>
    </row>
    <row r="121" spans="1:4" x14ac:dyDescent="0.3">
      <c r="A121" s="14" t="s">
        <v>180</v>
      </c>
      <c r="B121" s="14" t="s">
        <v>786</v>
      </c>
      <c r="C121" s="21">
        <v>13192</v>
      </c>
      <c r="D121" s="22">
        <v>45345</v>
      </c>
    </row>
    <row r="122" spans="1:4" x14ac:dyDescent="0.3">
      <c r="A122" s="14" t="s">
        <v>379</v>
      </c>
      <c r="B122" s="14" t="s">
        <v>784</v>
      </c>
      <c r="C122" s="21">
        <v>13687</v>
      </c>
      <c r="D122" s="22">
        <v>45345</v>
      </c>
    </row>
    <row r="123" spans="1:4" x14ac:dyDescent="0.3">
      <c r="A123" s="14" t="s">
        <v>273</v>
      </c>
      <c r="B123" s="14" t="s">
        <v>785</v>
      </c>
      <c r="C123" s="21">
        <v>10737</v>
      </c>
      <c r="D123" s="22">
        <v>45346</v>
      </c>
    </row>
    <row r="124" spans="1:4" x14ac:dyDescent="0.3">
      <c r="A124" s="14" t="s">
        <v>581</v>
      </c>
      <c r="B124" s="14" t="s">
        <v>783</v>
      </c>
      <c r="C124" s="21">
        <v>10423</v>
      </c>
      <c r="D124" s="22">
        <v>45346</v>
      </c>
    </row>
    <row r="125" spans="1:4" x14ac:dyDescent="0.3">
      <c r="A125" s="14" t="s">
        <v>108</v>
      </c>
      <c r="B125" s="14" t="s">
        <v>783</v>
      </c>
      <c r="C125" s="21">
        <v>12042</v>
      </c>
      <c r="D125" s="22">
        <v>45346</v>
      </c>
    </row>
    <row r="126" spans="1:4" x14ac:dyDescent="0.3">
      <c r="A126" s="14" t="s">
        <v>408</v>
      </c>
      <c r="B126" s="14" t="s">
        <v>787</v>
      </c>
      <c r="C126" s="21">
        <v>10429</v>
      </c>
      <c r="D126" s="22">
        <v>45346</v>
      </c>
    </row>
    <row r="127" spans="1:4" x14ac:dyDescent="0.3">
      <c r="A127" s="14" t="s">
        <v>353</v>
      </c>
      <c r="B127" s="14" t="s">
        <v>785</v>
      </c>
      <c r="C127" s="21">
        <v>10722</v>
      </c>
      <c r="D127" s="22">
        <v>45347</v>
      </c>
    </row>
    <row r="128" spans="1:4" x14ac:dyDescent="0.3">
      <c r="A128" s="14" t="s">
        <v>694</v>
      </c>
      <c r="B128" s="14" t="s">
        <v>785</v>
      </c>
      <c r="C128" s="21">
        <v>12581</v>
      </c>
      <c r="D128" s="22">
        <v>45347</v>
      </c>
    </row>
    <row r="129" spans="1:4" x14ac:dyDescent="0.3">
      <c r="A129" s="14" t="s">
        <v>143</v>
      </c>
      <c r="B129" s="14" t="s">
        <v>787</v>
      </c>
      <c r="C129" s="21">
        <v>9803</v>
      </c>
      <c r="D129" s="22">
        <v>45347</v>
      </c>
    </row>
    <row r="130" spans="1:4" x14ac:dyDescent="0.3">
      <c r="A130" s="14" t="s">
        <v>233</v>
      </c>
      <c r="B130" s="14" t="s">
        <v>787</v>
      </c>
      <c r="C130" s="21">
        <v>16207</v>
      </c>
      <c r="D130" s="22">
        <v>45347</v>
      </c>
    </row>
    <row r="131" spans="1:4" x14ac:dyDescent="0.3">
      <c r="A131" s="14" t="s">
        <v>587</v>
      </c>
      <c r="B131" s="14" t="s">
        <v>787</v>
      </c>
      <c r="C131" s="21">
        <v>7485</v>
      </c>
      <c r="D131" s="22">
        <v>45347</v>
      </c>
    </row>
    <row r="132" spans="1:4" x14ac:dyDescent="0.3">
      <c r="A132" s="14" t="s">
        <v>391</v>
      </c>
      <c r="B132" s="14" t="s">
        <v>787</v>
      </c>
      <c r="C132" s="21">
        <v>10295</v>
      </c>
      <c r="D132" s="22">
        <v>45347</v>
      </c>
    </row>
    <row r="133" spans="1:4" x14ac:dyDescent="0.3">
      <c r="A133" s="14" t="s">
        <v>499</v>
      </c>
      <c r="B133" s="14" t="s">
        <v>784</v>
      </c>
      <c r="C133" s="21">
        <v>13010</v>
      </c>
      <c r="D133" s="22">
        <v>45347</v>
      </c>
    </row>
    <row r="134" spans="1:4" x14ac:dyDescent="0.3">
      <c r="A134" s="14" t="s">
        <v>602</v>
      </c>
      <c r="B134" s="14" t="s">
        <v>784</v>
      </c>
      <c r="C134" s="21">
        <v>13500</v>
      </c>
      <c r="D134" s="22">
        <v>45347</v>
      </c>
    </row>
    <row r="135" spans="1:4" x14ac:dyDescent="0.3">
      <c r="A135" s="14" t="s">
        <v>482</v>
      </c>
      <c r="B135" s="14" t="s">
        <v>785</v>
      </c>
      <c r="C135" s="21">
        <v>9276</v>
      </c>
      <c r="D135" s="22">
        <v>45348</v>
      </c>
    </row>
    <row r="136" spans="1:4" x14ac:dyDescent="0.3">
      <c r="A136" s="14" t="s">
        <v>683</v>
      </c>
      <c r="B136" s="14" t="s">
        <v>785</v>
      </c>
      <c r="C136" s="21">
        <v>8934</v>
      </c>
      <c r="D136" s="22">
        <v>45348</v>
      </c>
    </row>
    <row r="137" spans="1:4" x14ac:dyDescent="0.3">
      <c r="A137" s="14" t="s">
        <v>120</v>
      </c>
      <c r="B137" s="14" t="s">
        <v>786</v>
      </c>
      <c r="C137" s="21">
        <v>13464</v>
      </c>
      <c r="D137" s="22">
        <v>45348</v>
      </c>
    </row>
    <row r="138" spans="1:4" x14ac:dyDescent="0.3">
      <c r="A138" s="14" t="s">
        <v>676</v>
      </c>
      <c r="B138" s="14" t="s">
        <v>783</v>
      </c>
      <c r="C138" s="21">
        <v>5826</v>
      </c>
      <c r="D138" s="22">
        <v>45349</v>
      </c>
    </row>
    <row r="139" spans="1:4" x14ac:dyDescent="0.3">
      <c r="A139" s="14" t="s">
        <v>125</v>
      </c>
      <c r="B139" s="14" t="s">
        <v>784</v>
      </c>
      <c r="C139" s="21">
        <v>13430</v>
      </c>
      <c r="D139" s="22">
        <v>45349</v>
      </c>
    </row>
    <row r="140" spans="1:4" x14ac:dyDescent="0.3">
      <c r="A140" s="14" t="s">
        <v>46</v>
      </c>
      <c r="B140" s="14" t="s">
        <v>812</v>
      </c>
      <c r="C140" s="21">
        <v>15811</v>
      </c>
      <c r="D140" s="22">
        <v>45350</v>
      </c>
    </row>
    <row r="141" spans="1:4" x14ac:dyDescent="0.3">
      <c r="A141" s="14" t="s">
        <v>104</v>
      </c>
      <c r="B141" s="14" t="s">
        <v>783</v>
      </c>
      <c r="C141" s="21">
        <v>9940</v>
      </c>
      <c r="D141" s="22">
        <v>45351</v>
      </c>
    </row>
    <row r="142" spans="1:4" x14ac:dyDescent="0.3">
      <c r="A142" s="14" t="s">
        <v>546</v>
      </c>
      <c r="B142" s="14" t="s">
        <v>785</v>
      </c>
      <c r="C142" s="21">
        <v>13399</v>
      </c>
      <c r="D142" s="22">
        <v>45352</v>
      </c>
    </row>
    <row r="143" spans="1:4" x14ac:dyDescent="0.3">
      <c r="A143" s="14" t="s">
        <v>469</v>
      </c>
      <c r="B143" s="14" t="s">
        <v>812</v>
      </c>
      <c r="C143" s="21">
        <v>11439</v>
      </c>
      <c r="D143" s="22">
        <v>45352</v>
      </c>
    </row>
    <row r="144" spans="1:4" x14ac:dyDescent="0.3">
      <c r="A144" s="14" t="s">
        <v>128</v>
      </c>
      <c r="B144" s="14" t="s">
        <v>785</v>
      </c>
      <c r="C144" s="21">
        <v>16704</v>
      </c>
      <c r="D144" s="22">
        <v>45353</v>
      </c>
    </row>
    <row r="145" spans="1:4" x14ac:dyDescent="0.3">
      <c r="A145" s="14" t="s">
        <v>464</v>
      </c>
      <c r="B145" s="14" t="s">
        <v>787</v>
      </c>
      <c r="C145" s="21">
        <v>15205</v>
      </c>
      <c r="D145" s="22">
        <v>45353</v>
      </c>
    </row>
    <row r="146" spans="1:4" x14ac:dyDescent="0.3">
      <c r="A146" s="14" t="s">
        <v>502</v>
      </c>
      <c r="B146" s="14" t="s">
        <v>785</v>
      </c>
      <c r="C146" s="21">
        <v>15507</v>
      </c>
      <c r="D146" s="22">
        <v>45354</v>
      </c>
    </row>
    <row r="147" spans="1:4" x14ac:dyDescent="0.3">
      <c r="A147" s="14" t="s">
        <v>85</v>
      </c>
      <c r="B147" s="14" t="s">
        <v>785</v>
      </c>
      <c r="C147" s="21">
        <v>16861</v>
      </c>
      <c r="D147" s="22">
        <v>45354</v>
      </c>
    </row>
    <row r="148" spans="1:4" x14ac:dyDescent="0.3">
      <c r="A148" s="14" t="s">
        <v>710</v>
      </c>
      <c r="B148" s="14" t="s">
        <v>785</v>
      </c>
      <c r="C148" s="21">
        <v>5729</v>
      </c>
      <c r="D148" s="22">
        <v>45354</v>
      </c>
    </row>
    <row r="149" spans="1:4" x14ac:dyDescent="0.3">
      <c r="A149" s="14" t="s">
        <v>630</v>
      </c>
      <c r="B149" s="14" t="s">
        <v>785</v>
      </c>
      <c r="C149" s="21">
        <v>15072</v>
      </c>
      <c r="D149" s="22">
        <v>45354</v>
      </c>
    </row>
    <row r="150" spans="1:4" x14ac:dyDescent="0.3">
      <c r="A150" s="14" t="s">
        <v>378</v>
      </c>
      <c r="B150" s="14" t="s">
        <v>783</v>
      </c>
      <c r="C150" s="21">
        <v>8822</v>
      </c>
      <c r="D150" s="22">
        <v>45354</v>
      </c>
    </row>
    <row r="151" spans="1:4" x14ac:dyDescent="0.3">
      <c r="A151" s="14" t="s">
        <v>720</v>
      </c>
      <c r="B151" s="14" t="s">
        <v>787</v>
      </c>
      <c r="C151" s="21">
        <v>7317</v>
      </c>
      <c r="D151" s="22">
        <v>45354</v>
      </c>
    </row>
    <row r="152" spans="1:4" x14ac:dyDescent="0.3">
      <c r="A152" s="14" t="s">
        <v>10</v>
      </c>
      <c r="B152" s="14" t="s">
        <v>784</v>
      </c>
      <c r="C152" s="21">
        <v>12693</v>
      </c>
      <c r="D152" s="22">
        <v>45355</v>
      </c>
    </row>
    <row r="153" spans="1:4" x14ac:dyDescent="0.3">
      <c r="A153" s="14" t="s">
        <v>713</v>
      </c>
      <c r="B153" s="14" t="s">
        <v>787</v>
      </c>
      <c r="C153" s="21">
        <v>12723</v>
      </c>
      <c r="D153" s="22">
        <v>45356</v>
      </c>
    </row>
    <row r="154" spans="1:4" x14ac:dyDescent="0.3">
      <c r="A154" s="14" t="s">
        <v>457</v>
      </c>
      <c r="B154" s="14" t="s">
        <v>784</v>
      </c>
      <c r="C154" s="21">
        <v>14319</v>
      </c>
      <c r="D154" s="22">
        <v>45356</v>
      </c>
    </row>
    <row r="155" spans="1:4" x14ac:dyDescent="0.3">
      <c r="A155" s="14" t="s">
        <v>815</v>
      </c>
      <c r="B155" s="14" t="s">
        <v>812</v>
      </c>
      <c r="C155" s="21">
        <v>8730</v>
      </c>
      <c r="D155" s="22">
        <v>45358</v>
      </c>
    </row>
    <row r="156" spans="1:4" x14ac:dyDescent="0.3">
      <c r="A156" s="14" t="s">
        <v>399</v>
      </c>
      <c r="B156" s="14" t="s">
        <v>787</v>
      </c>
      <c r="C156" s="21">
        <v>6666</v>
      </c>
      <c r="D156" s="22">
        <v>45358</v>
      </c>
    </row>
    <row r="157" spans="1:4" x14ac:dyDescent="0.3">
      <c r="A157" s="14" t="s">
        <v>110</v>
      </c>
      <c r="B157" s="14" t="s">
        <v>784</v>
      </c>
      <c r="C157" s="21">
        <v>13298</v>
      </c>
      <c r="D157" s="22">
        <v>45358</v>
      </c>
    </row>
    <row r="158" spans="1:4" x14ac:dyDescent="0.3">
      <c r="A158" s="14" t="s">
        <v>446</v>
      </c>
      <c r="B158" s="14" t="s">
        <v>785</v>
      </c>
      <c r="C158" s="21">
        <v>14907</v>
      </c>
      <c r="D158" s="22">
        <v>45359</v>
      </c>
    </row>
    <row r="159" spans="1:4" x14ac:dyDescent="0.3">
      <c r="A159" s="14" t="s">
        <v>146</v>
      </c>
      <c r="B159" s="14" t="s">
        <v>784</v>
      </c>
      <c r="C159" s="21">
        <v>7821</v>
      </c>
      <c r="D159" s="22">
        <v>45359</v>
      </c>
    </row>
    <row r="160" spans="1:4" x14ac:dyDescent="0.3">
      <c r="A160" s="14" t="s">
        <v>94</v>
      </c>
      <c r="B160" s="14" t="s">
        <v>785</v>
      </c>
      <c r="C160" s="21">
        <v>14777</v>
      </c>
      <c r="D160" s="22">
        <v>45360</v>
      </c>
    </row>
    <row r="161" spans="1:4" x14ac:dyDescent="0.3">
      <c r="A161" s="14" t="s">
        <v>158</v>
      </c>
      <c r="B161" s="14" t="s">
        <v>786</v>
      </c>
      <c r="C161" s="21">
        <v>9275</v>
      </c>
      <c r="D161" s="22">
        <v>45360</v>
      </c>
    </row>
    <row r="162" spans="1:4" x14ac:dyDescent="0.3">
      <c r="A162" s="14" t="s">
        <v>712</v>
      </c>
      <c r="B162" s="14" t="s">
        <v>787</v>
      </c>
      <c r="C162" s="21">
        <v>13431</v>
      </c>
      <c r="D162" s="22">
        <v>45360</v>
      </c>
    </row>
    <row r="163" spans="1:4" x14ac:dyDescent="0.3">
      <c r="A163" s="14" t="s">
        <v>169</v>
      </c>
      <c r="B163" s="14" t="s">
        <v>783</v>
      </c>
      <c r="C163" s="21">
        <v>11162</v>
      </c>
      <c r="D163" s="22">
        <v>45361</v>
      </c>
    </row>
    <row r="164" spans="1:4" x14ac:dyDescent="0.3">
      <c r="A164" s="14" t="s">
        <v>92</v>
      </c>
      <c r="B164" s="14" t="s">
        <v>785</v>
      </c>
      <c r="C164" s="21">
        <v>7848</v>
      </c>
      <c r="D164" s="22">
        <v>45362</v>
      </c>
    </row>
    <row r="165" spans="1:4" x14ac:dyDescent="0.3">
      <c r="A165" s="14" t="s">
        <v>634</v>
      </c>
      <c r="B165" s="14" t="s">
        <v>787</v>
      </c>
      <c r="C165" s="21">
        <v>5929</v>
      </c>
      <c r="D165" s="22">
        <v>45362</v>
      </c>
    </row>
    <row r="166" spans="1:4" x14ac:dyDescent="0.3">
      <c r="A166" s="14" t="s">
        <v>0</v>
      </c>
      <c r="B166" s="14" t="s">
        <v>787</v>
      </c>
      <c r="C166" s="21">
        <v>6906</v>
      </c>
      <c r="D166" s="22">
        <v>45362</v>
      </c>
    </row>
    <row r="167" spans="1:4" x14ac:dyDescent="0.3">
      <c r="A167" s="14" t="s">
        <v>35</v>
      </c>
      <c r="B167" s="14" t="s">
        <v>786</v>
      </c>
      <c r="C167" s="21">
        <v>8453</v>
      </c>
      <c r="D167" s="22">
        <v>45363</v>
      </c>
    </row>
    <row r="168" spans="1:4" x14ac:dyDescent="0.3">
      <c r="A168" s="14" t="s">
        <v>193</v>
      </c>
      <c r="B168" s="14" t="s">
        <v>784</v>
      </c>
      <c r="C168" s="21">
        <v>14505</v>
      </c>
      <c r="D168" s="22">
        <v>45364</v>
      </c>
    </row>
    <row r="169" spans="1:4" x14ac:dyDescent="0.3">
      <c r="A169" s="14" t="s">
        <v>199</v>
      </c>
      <c r="B169" s="14" t="s">
        <v>784</v>
      </c>
      <c r="C169" s="21">
        <v>12965</v>
      </c>
      <c r="D169" s="22">
        <v>45365</v>
      </c>
    </row>
    <row r="170" spans="1:4" x14ac:dyDescent="0.3">
      <c r="A170" s="14" t="s">
        <v>170</v>
      </c>
      <c r="B170" s="14" t="s">
        <v>784</v>
      </c>
      <c r="C170" s="21">
        <v>6868</v>
      </c>
      <c r="D170" s="22">
        <v>45365</v>
      </c>
    </row>
    <row r="171" spans="1:4" x14ac:dyDescent="0.3">
      <c r="A171" s="14" t="s">
        <v>372</v>
      </c>
      <c r="B171" s="14" t="s">
        <v>784</v>
      </c>
      <c r="C171" s="21">
        <v>8253</v>
      </c>
      <c r="D171" s="22">
        <v>45366</v>
      </c>
    </row>
    <row r="172" spans="1:4" x14ac:dyDescent="0.3">
      <c r="A172" s="14" t="s">
        <v>417</v>
      </c>
      <c r="B172" s="14" t="s">
        <v>785</v>
      </c>
      <c r="C172" s="21">
        <v>12003</v>
      </c>
      <c r="D172" s="22">
        <v>45367</v>
      </c>
    </row>
    <row r="173" spans="1:4" x14ac:dyDescent="0.3">
      <c r="A173" s="14" t="s">
        <v>152</v>
      </c>
      <c r="B173" s="14" t="s">
        <v>785</v>
      </c>
      <c r="C173" s="21">
        <v>12244</v>
      </c>
      <c r="D173" s="22">
        <v>45367</v>
      </c>
    </row>
    <row r="174" spans="1:4" x14ac:dyDescent="0.3">
      <c r="A174" s="14" t="s">
        <v>219</v>
      </c>
      <c r="B174" s="14" t="s">
        <v>784</v>
      </c>
      <c r="C174" s="21">
        <v>13781</v>
      </c>
      <c r="D174" s="22">
        <v>45367</v>
      </c>
    </row>
    <row r="175" spans="1:4" x14ac:dyDescent="0.3">
      <c r="A175" s="14" t="s">
        <v>682</v>
      </c>
      <c r="B175" s="14" t="s">
        <v>785</v>
      </c>
      <c r="C175" s="21">
        <v>12652</v>
      </c>
      <c r="D175" s="22">
        <v>45369</v>
      </c>
    </row>
    <row r="176" spans="1:4" x14ac:dyDescent="0.3">
      <c r="A176" s="14" t="s">
        <v>192</v>
      </c>
      <c r="B176" s="14" t="s">
        <v>783</v>
      </c>
      <c r="C176" s="21">
        <v>8966</v>
      </c>
      <c r="D176" s="22">
        <v>45369</v>
      </c>
    </row>
    <row r="177" spans="1:4" x14ac:dyDescent="0.3">
      <c r="A177" s="14" t="s">
        <v>331</v>
      </c>
      <c r="B177" s="14" t="s">
        <v>787</v>
      </c>
      <c r="C177" s="21">
        <v>12271</v>
      </c>
      <c r="D177" s="22">
        <v>45369</v>
      </c>
    </row>
    <row r="178" spans="1:4" x14ac:dyDescent="0.3">
      <c r="A178" s="14" t="s">
        <v>377</v>
      </c>
      <c r="B178" s="14" t="s">
        <v>784</v>
      </c>
      <c r="C178" s="21">
        <v>16276</v>
      </c>
      <c r="D178" s="22">
        <v>45369</v>
      </c>
    </row>
    <row r="179" spans="1:4" x14ac:dyDescent="0.3">
      <c r="A179" s="14" t="s">
        <v>549</v>
      </c>
      <c r="B179" s="14" t="s">
        <v>784</v>
      </c>
      <c r="C179" s="21">
        <v>5236</v>
      </c>
      <c r="D179" s="22">
        <v>45370</v>
      </c>
    </row>
    <row r="180" spans="1:4" x14ac:dyDescent="0.3">
      <c r="A180" s="14" t="s">
        <v>133</v>
      </c>
      <c r="B180" s="14" t="s">
        <v>786</v>
      </c>
      <c r="C180" s="21">
        <v>14840</v>
      </c>
      <c r="D180" s="22">
        <v>45371</v>
      </c>
    </row>
    <row r="181" spans="1:4" x14ac:dyDescent="0.3">
      <c r="A181" s="14" t="s">
        <v>309</v>
      </c>
      <c r="B181" s="14" t="s">
        <v>787</v>
      </c>
      <c r="C181" s="21">
        <v>5687</v>
      </c>
      <c r="D181" s="22">
        <v>45371</v>
      </c>
    </row>
    <row r="182" spans="1:4" x14ac:dyDescent="0.3">
      <c r="A182" s="14" t="s">
        <v>389</v>
      </c>
      <c r="B182" s="14" t="s">
        <v>787</v>
      </c>
      <c r="C182" s="21">
        <v>6682</v>
      </c>
      <c r="D182" s="22">
        <v>45371</v>
      </c>
    </row>
    <row r="183" spans="1:4" x14ac:dyDescent="0.3">
      <c r="A183" s="14" t="s">
        <v>420</v>
      </c>
      <c r="B183" s="14" t="s">
        <v>785</v>
      </c>
      <c r="C183" s="21">
        <v>14852</v>
      </c>
      <c r="D183" s="22">
        <v>45372</v>
      </c>
    </row>
    <row r="184" spans="1:4" x14ac:dyDescent="0.3">
      <c r="A184" s="14" t="s">
        <v>600</v>
      </c>
      <c r="B184" s="14" t="s">
        <v>783</v>
      </c>
      <c r="C184" s="21">
        <v>8142</v>
      </c>
      <c r="D184" s="22">
        <v>45373</v>
      </c>
    </row>
    <row r="185" spans="1:4" x14ac:dyDescent="0.3">
      <c r="A185" s="14" t="s">
        <v>483</v>
      </c>
      <c r="B185" s="14" t="s">
        <v>787</v>
      </c>
      <c r="C185" s="21">
        <v>16783</v>
      </c>
      <c r="D185" s="22">
        <v>45373</v>
      </c>
    </row>
    <row r="186" spans="1:4" x14ac:dyDescent="0.3">
      <c r="A186" s="14" t="s">
        <v>449</v>
      </c>
      <c r="B186" s="14" t="s">
        <v>785</v>
      </c>
      <c r="C186" s="21">
        <v>9160</v>
      </c>
      <c r="D186" s="22">
        <v>45374</v>
      </c>
    </row>
    <row r="187" spans="1:4" x14ac:dyDescent="0.3">
      <c r="A187" s="14" t="s">
        <v>605</v>
      </c>
      <c r="B187" s="14" t="s">
        <v>784</v>
      </c>
      <c r="C187" s="21">
        <v>8059</v>
      </c>
      <c r="D187" s="22">
        <v>45374</v>
      </c>
    </row>
    <row r="188" spans="1:4" x14ac:dyDescent="0.3">
      <c r="A188" s="14" t="s">
        <v>371</v>
      </c>
      <c r="B188" s="14" t="s">
        <v>786</v>
      </c>
      <c r="C188" s="21">
        <v>7036</v>
      </c>
      <c r="D188" s="22">
        <v>45375</v>
      </c>
    </row>
    <row r="189" spans="1:4" x14ac:dyDescent="0.3">
      <c r="A189" s="14" t="s">
        <v>416</v>
      </c>
      <c r="B189" s="14" t="s">
        <v>787</v>
      </c>
      <c r="C189" s="21">
        <v>14009</v>
      </c>
      <c r="D189" s="22">
        <v>45375</v>
      </c>
    </row>
    <row r="190" spans="1:4" x14ac:dyDescent="0.3">
      <c r="A190" s="14" t="s">
        <v>723</v>
      </c>
      <c r="B190" s="14" t="s">
        <v>784</v>
      </c>
      <c r="C190" s="21">
        <v>5161</v>
      </c>
      <c r="D190" s="22">
        <v>45375</v>
      </c>
    </row>
    <row r="191" spans="1:4" x14ac:dyDescent="0.3">
      <c r="A191" s="14" t="s">
        <v>598</v>
      </c>
      <c r="B191" s="14" t="s">
        <v>784</v>
      </c>
      <c r="C191" s="21">
        <v>5911</v>
      </c>
      <c r="D191" s="22">
        <v>45375</v>
      </c>
    </row>
    <row r="192" spans="1:4" x14ac:dyDescent="0.3">
      <c r="A192" s="14" t="s">
        <v>139</v>
      </c>
      <c r="B192" s="14" t="s">
        <v>785</v>
      </c>
      <c r="C192" s="21">
        <v>14063</v>
      </c>
      <c r="D192" s="22">
        <v>45376</v>
      </c>
    </row>
    <row r="193" spans="1:4" x14ac:dyDescent="0.3">
      <c r="A193" s="14" t="s">
        <v>649</v>
      </c>
      <c r="B193" s="14" t="s">
        <v>786</v>
      </c>
      <c r="C193" s="21">
        <v>16879</v>
      </c>
      <c r="D193" s="22">
        <v>45376</v>
      </c>
    </row>
    <row r="194" spans="1:4" x14ac:dyDescent="0.3">
      <c r="A194" s="14" t="s">
        <v>552</v>
      </c>
      <c r="B194" s="14" t="s">
        <v>783</v>
      </c>
      <c r="C194" s="21">
        <v>16562</v>
      </c>
      <c r="D194" s="22">
        <v>45376</v>
      </c>
    </row>
    <row r="195" spans="1:4" x14ac:dyDescent="0.3">
      <c r="A195" s="14" t="s">
        <v>56</v>
      </c>
      <c r="B195" s="14" t="s">
        <v>785</v>
      </c>
      <c r="C195" s="21">
        <v>6842</v>
      </c>
      <c r="D195" s="22">
        <v>45377</v>
      </c>
    </row>
    <row r="196" spans="1:4" x14ac:dyDescent="0.3">
      <c r="A196" s="14" t="s">
        <v>511</v>
      </c>
      <c r="B196" s="14" t="s">
        <v>783</v>
      </c>
      <c r="C196" s="21">
        <v>5572</v>
      </c>
      <c r="D196" s="22">
        <v>45377</v>
      </c>
    </row>
    <row r="197" spans="1:4" x14ac:dyDescent="0.3">
      <c r="A197" s="14" t="s">
        <v>822</v>
      </c>
      <c r="B197" s="14" t="s">
        <v>812</v>
      </c>
      <c r="C197" s="21">
        <v>9459</v>
      </c>
      <c r="D197" s="22">
        <v>45378</v>
      </c>
    </row>
    <row r="198" spans="1:4" x14ac:dyDescent="0.3">
      <c r="A198" s="14" t="s">
        <v>589</v>
      </c>
      <c r="B198" s="14" t="s">
        <v>783</v>
      </c>
      <c r="C198" s="21">
        <v>15608</v>
      </c>
      <c r="D198" s="22">
        <v>45378</v>
      </c>
    </row>
    <row r="199" spans="1:4" x14ac:dyDescent="0.3">
      <c r="A199" s="14" t="s">
        <v>790</v>
      </c>
      <c r="B199" s="14" t="s">
        <v>785</v>
      </c>
      <c r="C199" s="21">
        <v>10429</v>
      </c>
      <c r="D199" s="22">
        <v>45379</v>
      </c>
    </row>
    <row r="200" spans="1:4" x14ac:dyDescent="0.3">
      <c r="A200" s="14" t="s">
        <v>313</v>
      </c>
      <c r="B200" s="14" t="s">
        <v>784</v>
      </c>
      <c r="C200" s="21">
        <v>13279</v>
      </c>
      <c r="D200" s="22">
        <v>45379</v>
      </c>
    </row>
    <row r="201" spans="1:4" x14ac:dyDescent="0.3">
      <c r="A201" s="14" t="s">
        <v>629</v>
      </c>
      <c r="B201" s="14" t="s">
        <v>784</v>
      </c>
      <c r="C201" s="21">
        <v>11047</v>
      </c>
      <c r="D201" s="22">
        <v>45379</v>
      </c>
    </row>
    <row r="202" spans="1:4" x14ac:dyDescent="0.3">
      <c r="A202" s="14" t="s">
        <v>75</v>
      </c>
      <c r="B202" s="14" t="s">
        <v>785</v>
      </c>
      <c r="C202" s="21">
        <v>16812</v>
      </c>
      <c r="D202" s="22">
        <v>45380</v>
      </c>
    </row>
    <row r="203" spans="1:4" x14ac:dyDescent="0.3">
      <c r="A203" s="14" t="s">
        <v>586</v>
      </c>
      <c r="B203" s="14" t="s">
        <v>787</v>
      </c>
      <c r="C203" s="21">
        <v>13050</v>
      </c>
      <c r="D203" s="22">
        <v>45380</v>
      </c>
    </row>
    <row r="204" spans="1:4" x14ac:dyDescent="0.3">
      <c r="A204" s="14" t="s">
        <v>112</v>
      </c>
      <c r="B204" s="14" t="s">
        <v>784</v>
      </c>
      <c r="C204" s="21">
        <v>7910</v>
      </c>
      <c r="D204" s="22">
        <v>45380</v>
      </c>
    </row>
    <row r="205" spans="1:4" x14ac:dyDescent="0.3">
      <c r="A205" s="14" t="s">
        <v>731</v>
      </c>
      <c r="B205" s="14" t="s">
        <v>784</v>
      </c>
      <c r="C205" s="21">
        <v>13591</v>
      </c>
      <c r="D205" s="22">
        <v>45380</v>
      </c>
    </row>
    <row r="206" spans="1:4" x14ac:dyDescent="0.3">
      <c r="A206" s="14" t="s">
        <v>508</v>
      </c>
      <c r="B206" s="14" t="s">
        <v>786</v>
      </c>
      <c r="C206" s="21">
        <v>6594</v>
      </c>
      <c r="D206" s="22">
        <v>45382</v>
      </c>
    </row>
    <row r="207" spans="1:4" x14ac:dyDescent="0.3">
      <c r="A207" s="14" t="s">
        <v>597</v>
      </c>
      <c r="B207" s="14" t="s">
        <v>783</v>
      </c>
      <c r="C207" s="21">
        <v>11539</v>
      </c>
      <c r="D207" s="22">
        <v>45382</v>
      </c>
    </row>
    <row r="208" spans="1:4" x14ac:dyDescent="0.3">
      <c r="A208" s="14" t="s">
        <v>296</v>
      </c>
      <c r="B208" s="14" t="s">
        <v>783</v>
      </c>
      <c r="C208" s="21">
        <v>14339</v>
      </c>
      <c r="D208" s="22">
        <v>45383</v>
      </c>
    </row>
    <row r="209" spans="1:4" x14ac:dyDescent="0.3">
      <c r="A209" s="14" t="s">
        <v>528</v>
      </c>
      <c r="B209" s="14" t="s">
        <v>787</v>
      </c>
      <c r="C209" s="21">
        <v>16371</v>
      </c>
      <c r="D209" s="22">
        <v>45383</v>
      </c>
    </row>
    <row r="210" spans="1:4" x14ac:dyDescent="0.3">
      <c r="A210" s="14" t="s">
        <v>722</v>
      </c>
      <c r="B210" s="14" t="s">
        <v>784</v>
      </c>
      <c r="C210" s="21">
        <v>16399</v>
      </c>
      <c r="D210" s="22">
        <v>45383</v>
      </c>
    </row>
    <row r="211" spans="1:4" x14ac:dyDescent="0.3">
      <c r="A211" s="14" t="s">
        <v>817</v>
      </c>
      <c r="B211" s="14" t="s">
        <v>812</v>
      </c>
      <c r="C211" s="21">
        <v>12002</v>
      </c>
      <c r="D211" s="22">
        <v>45384</v>
      </c>
    </row>
    <row r="212" spans="1:4" x14ac:dyDescent="0.3">
      <c r="A212" s="14" t="s">
        <v>463</v>
      </c>
      <c r="B212" s="14" t="s">
        <v>783</v>
      </c>
      <c r="C212" s="21">
        <v>10985</v>
      </c>
      <c r="D212" s="22">
        <v>45384</v>
      </c>
    </row>
    <row r="213" spans="1:4" x14ac:dyDescent="0.3">
      <c r="A213" s="14" t="s">
        <v>87</v>
      </c>
      <c r="B213" s="14" t="s">
        <v>787</v>
      </c>
      <c r="C213" s="21">
        <v>13534</v>
      </c>
      <c r="D213" s="22">
        <v>45384</v>
      </c>
    </row>
    <row r="214" spans="1:4" x14ac:dyDescent="0.3">
      <c r="A214" s="14" t="s">
        <v>330</v>
      </c>
      <c r="B214" s="14" t="s">
        <v>785</v>
      </c>
      <c r="C214" s="21">
        <v>10118</v>
      </c>
      <c r="D214" s="22">
        <v>45385</v>
      </c>
    </row>
    <row r="215" spans="1:4" x14ac:dyDescent="0.3">
      <c r="A215" s="14" t="s">
        <v>471</v>
      </c>
      <c r="B215" s="14" t="s">
        <v>785</v>
      </c>
      <c r="C215" s="21">
        <v>5411</v>
      </c>
      <c r="D215" s="22">
        <v>45385</v>
      </c>
    </row>
    <row r="216" spans="1:4" x14ac:dyDescent="0.3">
      <c r="A216" s="14" t="s">
        <v>287</v>
      </c>
      <c r="B216" s="14" t="s">
        <v>785</v>
      </c>
      <c r="C216" s="21">
        <v>16064</v>
      </c>
      <c r="D216" s="22">
        <v>45386</v>
      </c>
    </row>
    <row r="217" spans="1:4" x14ac:dyDescent="0.3">
      <c r="A217" s="14" t="s">
        <v>221</v>
      </c>
      <c r="B217" s="14" t="s">
        <v>786</v>
      </c>
      <c r="C217" s="21">
        <v>7427</v>
      </c>
      <c r="D217" s="22">
        <v>45386</v>
      </c>
    </row>
    <row r="218" spans="1:4" x14ac:dyDescent="0.3">
      <c r="A218" s="14" t="s">
        <v>495</v>
      </c>
      <c r="B218" s="14" t="s">
        <v>787</v>
      </c>
      <c r="C218" s="21">
        <v>11663</v>
      </c>
      <c r="D218" s="22">
        <v>45386</v>
      </c>
    </row>
    <row r="219" spans="1:4" x14ac:dyDescent="0.3">
      <c r="A219" s="14" t="s">
        <v>131</v>
      </c>
      <c r="B219" s="14" t="s">
        <v>787</v>
      </c>
      <c r="C219" s="21">
        <v>9063</v>
      </c>
      <c r="D219" s="22">
        <v>45387</v>
      </c>
    </row>
    <row r="220" spans="1:4" x14ac:dyDescent="0.3">
      <c r="A220" s="14" t="s">
        <v>506</v>
      </c>
      <c r="B220" s="14" t="s">
        <v>812</v>
      </c>
      <c r="C220" s="21">
        <v>11742</v>
      </c>
      <c r="D220" s="22">
        <v>45389</v>
      </c>
    </row>
    <row r="221" spans="1:4" x14ac:dyDescent="0.3">
      <c r="A221" s="14" t="s">
        <v>665</v>
      </c>
      <c r="B221" s="14" t="s">
        <v>785</v>
      </c>
      <c r="C221" s="21">
        <v>13381</v>
      </c>
      <c r="D221" s="22">
        <v>45391</v>
      </c>
    </row>
    <row r="222" spans="1:4" x14ac:dyDescent="0.3">
      <c r="A222" s="14" t="s">
        <v>500</v>
      </c>
      <c r="B222" s="14" t="s">
        <v>787</v>
      </c>
      <c r="C222" s="21">
        <v>13901</v>
      </c>
      <c r="D222" s="22">
        <v>45391</v>
      </c>
    </row>
    <row r="223" spans="1:4" x14ac:dyDescent="0.3">
      <c r="A223" s="14" t="s">
        <v>50</v>
      </c>
      <c r="B223" s="14" t="s">
        <v>785</v>
      </c>
      <c r="C223" s="21">
        <v>14624</v>
      </c>
      <c r="D223" s="22">
        <v>45392</v>
      </c>
    </row>
    <row r="224" spans="1:4" x14ac:dyDescent="0.3">
      <c r="A224" s="14" t="s">
        <v>168</v>
      </c>
      <c r="B224" s="14" t="s">
        <v>812</v>
      </c>
      <c r="C224" s="21">
        <v>10263</v>
      </c>
      <c r="D224" s="22">
        <v>45392</v>
      </c>
    </row>
    <row r="225" spans="1:4" x14ac:dyDescent="0.3">
      <c r="A225" s="14" t="s">
        <v>616</v>
      </c>
      <c r="B225" s="14" t="s">
        <v>783</v>
      </c>
      <c r="C225" s="21">
        <v>14839</v>
      </c>
      <c r="D225" s="22">
        <v>45392</v>
      </c>
    </row>
    <row r="226" spans="1:4" x14ac:dyDescent="0.3">
      <c r="A226" s="14" t="s">
        <v>86</v>
      </c>
      <c r="B226" s="14" t="s">
        <v>787</v>
      </c>
      <c r="C226" s="21">
        <v>12968</v>
      </c>
      <c r="D226" s="22">
        <v>45392</v>
      </c>
    </row>
    <row r="227" spans="1:4" x14ac:dyDescent="0.3">
      <c r="A227" s="14" t="s">
        <v>729</v>
      </c>
      <c r="B227" s="14" t="s">
        <v>787</v>
      </c>
      <c r="C227" s="21">
        <v>11796</v>
      </c>
      <c r="D227" s="22">
        <v>45392</v>
      </c>
    </row>
    <row r="228" spans="1:4" x14ac:dyDescent="0.3">
      <c r="A228" s="23" t="s">
        <v>791</v>
      </c>
      <c r="B228" s="14" t="s">
        <v>784</v>
      </c>
      <c r="C228" s="21">
        <v>11595</v>
      </c>
      <c r="D228" s="22">
        <v>45392</v>
      </c>
    </row>
    <row r="229" spans="1:4" x14ac:dyDescent="0.3">
      <c r="A229" s="14" t="s">
        <v>442</v>
      </c>
      <c r="B229" s="14" t="s">
        <v>785</v>
      </c>
      <c r="C229" s="21">
        <v>5743</v>
      </c>
      <c r="D229" s="22">
        <v>45393</v>
      </c>
    </row>
    <row r="230" spans="1:4" x14ac:dyDescent="0.3">
      <c r="A230" s="14" t="s">
        <v>257</v>
      </c>
      <c r="B230" s="14" t="s">
        <v>785</v>
      </c>
      <c r="C230" s="21">
        <v>10611</v>
      </c>
      <c r="D230" s="22">
        <v>45393</v>
      </c>
    </row>
    <row r="231" spans="1:4" x14ac:dyDescent="0.3">
      <c r="A231" s="14" t="s">
        <v>555</v>
      </c>
      <c r="B231" s="14" t="s">
        <v>783</v>
      </c>
      <c r="C231" s="21">
        <v>13056</v>
      </c>
      <c r="D231" s="22">
        <v>45393</v>
      </c>
    </row>
    <row r="232" spans="1:4" x14ac:dyDescent="0.3">
      <c r="A232" s="14" t="s">
        <v>592</v>
      </c>
      <c r="B232" s="14" t="s">
        <v>784</v>
      </c>
      <c r="C232" s="21">
        <v>6377</v>
      </c>
      <c r="D232" s="22">
        <v>45393</v>
      </c>
    </row>
    <row r="233" spans="1:4" x14ac:dyDescent="0.3">
      <c r="A233" s="14" t="s">
        <v>615</v>
      </c>
      <c r="B233" s="14" t="s">
        <v>785</v>
      </c>
      <c r="C233" s="21">
        <v>5131</v>
      </c>
      <c r="D233" s="22">
        <v>45394</v>
      </c>
    </row>
    <row r="234" spans="1:4" x14ac:dyDescent="0.3">
      <c r="A234" s="14" t="s">
        <v>145</v>
      </c>
      <c r="B234" s="14" t="s">
        <v>787</v>
      </c>
      <c r="C234" s="21">
        <v>10522</v>
      </c>
      <c r="D234" s="22">
        <v>45394</v>
      </c>
    </row>
    <row r="235" spans="1:4" x14ac:dyDescent="0.3">
      <c r="A235" s="14" t="s">
        <v>236</v>
      </c>
      <c r="B235" s="14" t="s">
        <v>784</v>
      </c>
      <c r="C235" s="21">
        <v>16744</v>
      </c>
      <c r="D235" s="22">
        <v>45394</v>
      </c>
    </row>
    <row r="236" spans="1:4" x14ac:dyDescent="0.3">
      <c r="A236" s="14" t="s">
        <v>366</v>
      </c>
      <c r="B236" s="14" t="s">
        <v>785</v>
      </c>
      <c r="C236" s="21">
        <v>13975</v>
      </c>
      <c r="D236" s="22">
        <v>45395</v>
      </c>
    </row>
    <row r="237" spans="1:4" x14ac:dyDescent="0.3">
      <c r="A237" s="14" t="s">
        <v>491</v>
      </c>
      <c r="B237" s="14" t="s">
        <v>786</v>
      </c>
      <c r="C237" s="21">
        <v>14542</v>
      </c>
      <c r="D237" s="22">
        <v>45395</v>
      </c>
    </row>
    <row r="238" spans="1:4" x14ac:dyDescent="0.3">
      <c r="A238" s="14" t="s">
        <v>382</v>
      </c>
      <c r="B238" s="14" t="s">
        <v>786</v>
      </c>
      <c r="C238" s="21">
        <v>9122</v>
      </c>
      <c r="D238" s="22">
        <v>45395</v>
      </c>
    </row>
    <row r="239" spans="1:4" x14ac:dyDescent="0.3">
      <c r="A239" s="14" t="s">
        <v>369</v>
      </c>
      <c r="B239" s="14" t="s">
        <v>786</v>
      </c>
      <c r="C239" s="21">
        <v>11052</v>
      </c>
      <c r="D239" s="22">
        <v>45395</v>
      </c>
    </row>
    <row r="240" spans="1:4" x14ac:dyDescent="0.3">
      <c r="A240" s="14" t="s">
        <v>734</v>
      </c>
      <c r="B240" s="14" t="s">
        <v>784</v>
      </c>
      <c r="C240" s="21">
        <v>6605</v>
      </c>
      <c r="D240" s="22">
        <v>45395</v>
      </c>
    </row>
    <row r="241" spans="1:4" x14ac:dyDescent="0.3">
      <c r="A241" s="14" t="s">
        <v>626</v>
      </c>
      <c r="B241" s="14" t="s">
        <v>784</v>
      </c>
      <c r="C241" s="21">
        <v>8638</v>
      </c>
      <c r="D241" s="22">
        <v>45395</v>
      </c>
    </row>
    <row r="242" spans="1:4" x14ac:dyDescent="0.3">
      <c r="A242" s="14" t="s">
        <v>207</v>
      </c>
      <c r="B242" s="14" t="s">
        <v>784</v>
      </c>
      <c r="C242" s="21">
        <v>7145</v>
      </c>
      <c r="D242" s="22">
        <v>45395</v>
      </c>
    </row>
    <row r="243" spans="1:4" x14ac:dyDescent="0.3">
      <c r="A243" s="14" t="s">
        <v>687</v>
      </c>
      <c r="B243" s="14" t="s">
        <v>786</v>
      </c>
      <c r="C243" s="21">
        <v>13022</v>
      </c>
      <c r="D243" s="22">
        <v>45396</v>
      </c>
    </row>
    <row r="244" spans="1:4" x14ac:dyDescent="0.3">
      <c r="A244" s="14" t="s">
        <v>244</v>
      </c>
      <c r="B244" s="14" t="s">
        <v>785</v>
      </c>
      <c r="C244" s="21">
        <v>10403</v>
      </c>
      <c r="D244" s="22">
        <v>45397</v>
      </c>
    </row>
    <row r="245" spans="1:4" x14ac:dyDescent="0.3">
      <c r="A245" s="14" t="s">
        <v>414</v>
      </c>
      <c r="B245" s="14" t="s">
        <v>785</v>
      </c>
      <c r="C245" s="21">
        <v>5111</v>
      </c>
      <c r="D245" s="22">
        <v>45397</v>
      </c>
    </row>
    <row r="246" spans="1:4" x14ac:dyDescent="0.3">
      <c r="A246" s="14" t="s">
        <v>644</v>
      </c>
      <c r="B246" s="14" t="s">
        <v>787</v>
      </c>
      <c r="C246" s="21">
        <v>9063</v>
      </c>
      <c r="D246" s="22">
        <v>45397</v>
      </c>
    </row>
    <row r="247" spans="1:4" x14ac:dyDescent="0.3">
      <c r="A247" s="14" t="s">
        <v>488</v>
      </c>
      <c r="B247" s="14" t="s">
        <v>812</v>
      </c>
      <c r="C247" s="21">
        <v>7983</v>
      </c>
      <c r="D247" s="22">
        <v>45398</v>
      </c>
    </row>
    <row r="248" spans="1:4" x14ac:dyDescent="0.3">
      <c r="A248" s="14" t="s">
        <v>198</v>
      </c>
      <c r="B248" s="14" t="s">
        <v>787</v>
      </c>
      <c r="C248" s="21">
        <v>8074</v>
      </c>
      <c r="D248" s="22">
        <v>45398</v>
      </c>
    </row>
    <row r="249" spans="1:4" x14ac:dyDescent="0.3">
      <c r="A249" s="14" t="s">
        <v>144</v>
      </c>
      <c r="B249" s="14" t="s">
        <v>784</v>
      </c>
      <c r="C249" s="21">
        <v>8397</v>
      </c>
      <c r="D249" s="22">
        <v>45398</v>
      </c>
    </row>
    <row r="250" spans="1:4" x14ac:dyDescent="0.3">
      <c r="A250" s="14" t="s">
        <v>792</v>
      </c>
      <c r="B250" s="14" t="s">
        <v>785</v>
      </c>
      <c r="C250" s="21">
        <v>13721</v>
      </c>
      <c r="D250" s="22">
        <v>45399</v>
      </c>
    </row>
    <row r="251" spans="1:4" x14ac:dyDescent="0.3">
      <c r="A251" s="14" t="s">
        <v>61</v>
      </c>
      <c r="B251" s="14" t="s">
        <v>786</v>
      </c>
      <c r="C251" s="21">
        <v>6225</v>
      </c>
      <c r="D251" s="22">
        <v>45399</v>
      </c>
    </row>
    <row r="252" spans="1:4" x14ac:dyDescent="0.3">
      <c r="A252" s="14" t="s">
        <v>241</v>
      </c>
      <c r="B252" s="14" t="s">
        <v>786</v>
      </c>
      <c r="C252" s="21">
        <v>11533</v>
      </c>
      <c r="D252" s="22">
        <v>45400</v>
      </c>
    </row>
    <row r="253" spans="1:4" x14ac:dyDescent="0.3">
      <c r="A253" s="14" t="s">
        <v>696</v>
      </c>
      <c r="B253" s="14" t="s">
        <v>787</v>
      </c>
      <c r="C253" s="21">
        <v>15928</v>
      </c>
      <c r="D253" s="22">
        <v>45400</v>
      </c>
    </row>
    <row r="254" spans="1:4" x14ac:dyDescent="0.3">
      <c r="A254" s="14" t="s">
        <v>178</v>
      </c>
      <c r="B254" s="14" t="s">
        <v>785</v>
      </c>
      <c r="C254" s="21">
        <v>16859</v>
      </c>
      <c r="D254" s="22">
        <v>45401</v>
      </c>
    </row>
    <row r="255" spans="1:4" x14ac:dyDescent="0.3">
      <c r="A255" s="14" t="s">
        <v>793</v>
      </c>
      <c r="B255" s="14" t="s">
        <v>787</v>
      </c>
      <c r="C255" s="21">
        <v>15140</v>
      </c>
      <c r="D255" s="22">
        <v>45401</v>
      </c>
    </row>
    <row r="256" spans="1:4" x14ac:dyDescent="0.3">
      <c r="A256" s="23" t="s">
        <v>794</v>
      </c>
      <c r="B256" s="14" t="s">
        <v>786</v>
      </c>
      <c r="C256" s="21">
        <v>10013</v>
      </c>
      <c r="D256" s="22">
        <v>45402</v>
      </c>
    </row>
    <row r="257" spans="1:4" x14ac:dyDescent="0.3">
      <c r="A257" s="14" t="s">
        <v>485</v>
      </c>
      <c r="B257" s="14" t="s">
        <v>785</v>
      </c>
      <c r="C257" s="21">
        <v>11459</v>
      </c>
      <c r="D257" s="22">
        <v>45403</v>
      </c>
    </row>
    <row r="258" spans="1:4" x14ac:dyDescent="0.3">
      <c r="A258" s="14" t="s">
        <v>234</v>
      </c>
      <c r="B258" s="14" t="s">
        <v>812</v>
      </c>
      <c r="C258" s="21">
        <v>16888</v>
      </c>
      <c r="D258" s="22">
        <v>45403</v>
      </c>
    </row>
    <row r="259" spans="1:4" x14ac:dyDescent="0.3">
      <c r="A259" s="14" t="s">
        <v>80</v>
      </c>
      <c r="B259" s="14" t="s">
        <v>785</v>
      </c>
      <c r="C259" s="21">
        <v>8337</v>
      </c>
      <c r="D259" s="22">
        <v>45404</v>
      </c>
    </row>
    <row r="260" spans="1:4" x14ac:dyDescent="0.3">
      <c r="A260" s="14" t="s">
        <v>107</v>
      </c>
      <c r="B260" s="14" t="s">
        <v>786</v>
      </c>
      <c r="C260" s="21">
        <v>14677</v>
      </c>
      <c r="D260" s="22">
        <v>45404</v>
      </c>
    </row>
    <row r="261" spans="1:4" x14ac:dyDescent="0.3">
      <c r="A261" s="14" t="s">
        <v>777</v>
      </c>
      <c r="B261" s="14" t="s">
        <v>784</v>
      </c>
      <c r="C261" s="21">
        <v>6439</v>
      </c>
      <c r="D261" s="22">
        <v>45404</v>
      </c>
    </row>
    <row r="262" spans="1:4" x14ac:dyDescent="0.3">
      <c r="A262" s="14" t="s">
        <v>149</v>
      </c>
      <c r="B262" s="14" t="s">
        <v>812</v>
      </c>
      <c r="C262" s="21">
        <v>5077</v>
      </c>
      <c r="D262" s="22">
        <v>45405</v>
      </c>
    </row>
    <row r="263" spans="1:4" x14ac:dyDescent="0.3">
      <c r="A263" s="14" t="s">
        <v>554</v>
      </c>
      <c r="B263" s="14" t="s">
        <v>786</v>
      </c>
      <c r="C263" s="21">
        <v>6266</v>
      </c>
      <c r="D263" s="22">
        <v>45407</v>
      </c>
    </row>
    <row r="264" spans="1:4" x14ac:dyDescent="0.3">
      <c r="A264" s="14" t="s">
        <v>23</v>
      </c>
      <c r="B264" s="14" t="s">
        <v>784</v>
      </c>
      <c r="C264" s="21">
        <v>6942</v>
      </c>
      <c r="D264" s="22">
        <v>45408</v>
      </c>
    </row>
    <row r="265" spans="1:4" x14ac:dyDescent="0.3">
      <c r="A265" s="14" t="s">
        <v>740</v>
      </c>
      <c r="B265" s="14" t="s">
        <v>785</v>
      </c>
      <c r="C265" s="21">
        <v>11466</v>
      </c>
      <c r="D265" s="22">
        <v>45409</v>
      </c>
    </row>
    <row r="266" spans="1:4" x14ac:dyDescent="0.3">
      <c r="A266" s="14" t="s">
        <v>795</v>
      </c>
      <c r="B266" s="14" t="s">
        <v>785</v>
      </c>
      <c r="C266" s="21">
        <v>15483</v>
      </c>
      <c r="D266" s="22">
        <v>45409</v>
      </c>
    </row>
    <row r="267" spans="1:4" x14ac:dyDescent="0.3">
      <c r="A267" s="14" t="s">
        <v>529</v>
      </c>
      <c r="B267" s="14" t="s">
        <v>787</v>
      </c>
      <c r="C267" s="21">
        <v>15873</v>
      </c>
      <c r="D267" s="22">
        <v>45409</v>
      </c>
    </row>
    <row r="268" spans="1:4" x14ac:dyDescent="0.3">
      <c r="A268" s="14" t="s">
        <v>657</v>
      </c>
      <c r="B268" s="14" t="s">
        <v>812</v>
      </c>
      <c r="C268" s="21">
        <v>10243</v>
      </c>
      <c r="D268" s="22">
        <v>45410</v>
      </c>
    </row>
    <row r="269" spans="1:4" x14ac:dyDescent="0.3">
      <c r="A269" s="14" t="s">
        <v>530</v>
      </c>
      <c r="B269" s="14" t="s">
        <v>783</v>
      </c>
      <c r="C269" s="21">
        <v>12163</v>
      </c>
      <c r="D269" s="22">
        <v>45410</v>
      </c>
    </row>
    <row r="270" spans="1:4" x14ac:dyDescent="0.3">
      <c r="A270" s="14" t="s">
        <v>688</v>
      </c>
      <c r="B270" s="14" t="s">
        <v>787</v>
      </c>
      <c r="C270" s="21">
        <v>5049</v>
      </c>
      <c r="D270" s="22">
        <v>45410</v>
      </c>
    </row>
    <row r="271" spans="1:4" x14ac:dyDescent="0.3">
      <c r="A271" s="14" t="s">
        <v>533</v>
      </c>
      <c r="B271" s="14" t="s">
        <v>784</v>
      </c>
      <c r="C271" s="21">
        <v>14212</v>
      </c>
      <c r="D271" s="22">
        <v>45410</v>
      </c>
    </row>
    <row r="272" spans="1:4" x14ac:dyDescent="0.3">
      <c r="A272" s="14" t="s">
        <v>4</v>
      </c>
      <c r="B272" s="14" t="s">
        <v>784</v>
      </c>
      <c r="C272" s="21">
        <v>5027</v>
      </c>
      <c r="D272" s="22">
        <v>45411</v>
      </c>
    </row>
    <row r="273" spans="1:4" x14ac:dyDescent="0.3">
      <c r="A273" s="14" t="s">
        <v>293</v>
      </c>
      <c r="B273" s="14" t="s">
        <v>786</v>
      </c>
      <c r="C273" s="21">
        <v>6069</v>
      </c>
      <c r="D273" s="22">
        <v>45412</v>
      </c>
    </row>
    <row r="274" spans="1:4" x14ac:dyDescent="0.3">
      <c r="A274" s="14" t="s">
        <v>541</v>
      </c>
      <c r="B274" s="14" t="s">
        <v>787</v>
      </c>
      <c r="C274" s="21">
        <v>10639</v>
      </c>
      <c r="D274" s="22">
        <v>45412</v>
      </c>
    </row>
    <row r="275" spans="1:4" x14ac:dyDescent="0.3">
      <c r="A275" s="14" t="s">
        <v>578</v>
      </c>
      <c r="B275" s="14" t="s">
        <v>784</v>
      </c>
      <c r="C275" s="21">
        <v>12602</v>
      </c>
      <c r="D275" s="22">
        <v>45412</v>
      </c>
    </row>
    <row r="276" spans="1:4" x14ac:dyDescent="0.3">
      <c r="A276" s="14" t="s">
        <v>525</v>
      </c>
      <c r="B276" s="14" t="s">
        <v>784</v>
      </c>
      <c r="C276" s="21">
        <v>5220</v>
      </c>
      <c r="D276" s="22">
        <v>45412</v>
      </c>
    </row>
    <row r="277" spans="1:4" x14ac:dyDescent="0.3">
      <c r="A277" s="14" t="s">
        <v>398</v>
      </c>
      <c r="B277" s="14" t="s">
        <v>785</v>
      </c>
      <c r="C277" s="21">
        <v>6405</v>
      </c>
      <c r="D277" s="22">
        <v>45413</v>
      </c>
    </row>
    <row r="278" spans="1:4" x14ac:dyDescent="0.3">
      <c r="A278" s="14" t="s">
        <v>562</v>
      </c>
      <c r="B278" s="14" t="s">
        <v>812</v>
      </c>
      <c r="C278" s="21">
        <v>13592</v>
      </c>
      <c r="D278" s="22">
        <v>45413</v>
      </c>
    </row>
    <row r="279" spans="1:4" x14ac:dyDescent="0.3">
      <c r="A279" s="14" t="s">
        <v>286</v>
      </c>
      <c r="B279" s="14" t="s">
        <v>786</v>
      </c>
      <c r="C279" s="21">
        <v>12560</v>
      </c>
      <c r="D279" s="22">
        <v>45414</v>
      </c>
    </row>
    <row r="280" spans="1:4" x14ac:dyDescent="0.3">
      <c r="A280" s="14" t="s">
        <v>208</v>
      </c>
      <c r="B280" s="14" t="s">
        <v>812</v>
      </c>
      <c r="C280" s="21">
        <v>12184</v>
      </c>
      <c r="D280" s="22">
        <v>45414</v>
      </c>
    </row>
    <row r="281" spans="1:4" x14ac:dyDescent="0.3">
      <c r="A281" s="14" t="s">
        <v>678</v>
      </c>
      <c r="B281" s="14" t="s">
        <v>784</v>
      </c>
      <c r="C281" s="21">
        <v>9242</v>
      </c>
      <c r="D281" s="22">
        <v>45414</v>
      </c>
    </row>
    <row r="282" spans="1:4" x14ac:dyDescent="0.3">
      <c r="A282" s="14" t="s">
        <v>66</v>
      </c>
      <c r="B282" s="14" t="s">
        <v>812</v>
      </c>
      <c r="C282" s="21">
        <v>7873</v>
      </c>
      <c r="D282" s="22">
        <v>45415</v>
      </c>
    </row>
    <row r="283" spans="1:4" x14ac:dyDescent="0.3">
      <c r="A283" s="14" t="s">
        <v>583</v>
      </c>
      <c r="B283" s="14" t="s">
        <v>783</v>
      </c>
      <c r="C283" s="21">
        <v>6401</v>
      </c>
      <c r="D283" s="22">
        <v>45415</v>
      </c>
    </row>
    <row r="284" spans="1:4" x14ac:dyDescent="0.3">
      <c r="A284" s="14" t="s">
        <v>250</v>
      </c>
      <c r="B284" s="14" t="s">
        <v>785</v>
      </c>
      <c r="C284" s="21">
        <v>16307</v>
      </c>
      <c r="D284" s="22">
        <v>45416</v>
      </c>
    </row>
    <row r="285" spans="1:4" x14ac:dyDescent="0.3">
      <c r="A285" s="14" t="s">
        <v>818</v>
      </c>
      <c r="B285" s="14" t="s">
        <v>812</v>
      </c>
      <c r="C285" s="21">
        <v>11168</v>
      </c>
      <c r="D285" s="22">
        <v>45416</v>
      </c>
    </row>
    <row r="286" spans="1:4" x14ac:dyDescent="0.3">
      <c r="A286" s="14" t="s">
        <v>243</v>
      </c>
      <c r="B286" s="14" t="s">
        <v>783</v>
      </c>
      <c r="C286" s="21">
        <v>8582</v>
      </c>
      <c r="D286" s="22">
        <v>45416</v>
      </c>
    </row>
    <row r="287" spans="1:4" x14ac:dyDescent="0.3">
      <c r="A287" s="14" t="s">
        <v>421</v>
      </c>
      <c r="B287" s="14" t="s">
        <v>783</v>
      </c>
      <c r="C287" s="21">
        <v>10545</v>
      </c>
      <c r="D287" s="22">
        <v>45416</v>
      </c>
    </row>
    <row r="288" spans="1:4" x14ac:dyDescent="0.3">
      <c r="A288" s="23" t="s">
        <v>744</v>
      </c>
      <c r="B288" s="14" t="s">
        <v>787</v>
      </c>
      <c r="C288" s="21">
        <v>6914</v>
      </c>
      <c r="D288" s="22">
        <v>45416</v>
      </c>
    </row>
    <row r="289" spans="1:4" x14ac:dyDescent="0.3">
      <c r="A289" s="14" t="s">
        <v>819</v>
      </c>
      <c r="B289" s="14" t="s">
        <v>784</v>
      </c>
      <c r="C289" s="21">
        <v>9097</v>
      </c>
      <c r="D289" s="22">
        <v>45416</v>
      </c>
    </row>
    <row r="290" spans="1:4" x14ac:dyDescent="0.3">
      <c r="A290" s="14" t="s">
        <v>438</v>
      </c>
      <c r="B290" s="14" t="s">
        <v>784</v>
      </c>
      <c r="C290" s="21">
        <v>7332</v>
      </c>
      <c r="D290" s="22">
        <v>45416</v>
      </c>
    </row>
    <row r="291" spans="1:4" x14ac:dyDescent="0.3">
      <c r="A291" s="14" t="s">
        <v>517</v>
      </c>
      <c r="B291" s="14" t="s">
        <v>785</v>
      </c>
      <c r="C291" s="21">
        <v>12344</v>
      </c>
      <c r="D291" s="22">
        <v>45417</v>
      </c>
    </row>
    <row r="292" spans="1:4" x14ac:dyDescent="0.3">
      <c r="A292" s="14" t="s">
        <v>116</v>
      </c>
      <c r="B292" s="14" t="s">
        <v>787</v>
      </c>
      <c r="C292" s="21">
        <v>9755</v>
      </c>
      <c r="D292" s="22">
        <v>45418</v>
      </c>
    </row>
    <row r="293" spans="1:4" x14ac:dyDescent="0.3">
      <c r="A293" s="14" t="s">
        <v>5</v>
      </c>
      <c r="B293" s="14" t="s">
        <v>787</v>
      </c>
      <c r="C293" s="21">
        <v>10981</v>
      </c>
      <c r="D293" s="22">
        <v>45418</v>
      </c>
    </row>
    <row r="294" spans="1:4" x14ac:dyDescent="0.3">
      <c r="A294" s="14" t="s">
        <v>426</v>
      </c>
      <c r="B294" s="14" t="s">
        <v>785</v>
      </c>
      <c r="C294" s="21">
        <v>15427</v>
      </c>
      <c r="D294" s="22">
        <v>45419</v>
      </c>
    </row>
    <row r="295" spans="1:4" x14ac:dyDescent="0.3">
      <c r="A295" s="14" t="s">
        <v>177</v>
      </c>
      <c r="B295" s="14" t="s">
        <v>785</v>
      </c>
      <c r="C295" s="21">
        <v>10664</v>
      </c>
      <c r="D295" s="22">
        <v>45420</v>
      </c>
    </row>
    <row r="296" spans="1:4" x14ac:dyDescent="0.3">
      <c r="A296" s="14" t="s">
        <v>290</v>
      </c>
      <c r="B296" s="14" t="s">
        <v>787</v>
      </c>
      <c r="C296" s="21">
        <v>5215</v>
      </c>
      <c r="D296" s="22">
        <v>45420</v>
      </c>
    </row>
    <row r="297" spans="1:4" x14ac:dyDescent="0.3">
      <c r="A297" s="14" t="s">
        <v>255</v>
      </c>
      <c r="B297" s="14" t="s">
        <v>784</v>
      </c>
      <c r="C297" s="21">
        <v>13700</v>
      </c>
      <c r="D297" s="22">
        <v>45421</v>
      </c>
    </row>
    <row r="298" spans="1:4" x14ac:dyDescent="0.3">
      <c r="A298" s="14" t="s">
        <v>388</v>
      </c>
      <c r="B298" s="14" t="s">
        <v>784</v>
      </c>
      <c r="C298" s="21">
        <v>5490</v>
      </c>
      <c r="D298" s="22">
        <v>45421</v>
      </c>
    </row>
    <row r="299" spans="1:4" x14ac:dyDescent="0.3">
      <c r="A299" s="14" t="s">
        <v>185</v>
      </c>
      <c r="B299" s="14" t="s">
        <v>784</v>
      </c>
      <c r="C299" s="21">
        <v>10462</v>
      </c>
      <c r="D299" s="22">
        <v>45421</v>
      </c>
    </row>
    <row r="300" spans="1:4" x14ac:dyDescent="0.3">
      <c r="A300" s="14" t="s">
        <v>279</v>
      </c>
      <c r="B300" s="14" t="s">
        <v>784</v>
      </c>
      <c r="C300" s="21">
        <v>15783</v>
      </c>
      <c r="D300" s="22">
        <v>45422</v>
      </c>
    </row>
    <row r="301" spans="1:4" x14ac:dyDescent="0.3">
      <c r="A301" s="14" t="s">
        <v>159</v>
      </c>
      <c r="B301" s="14" t="s">
        <v>787</v>
      </c>
      <c r="C301" s="21">
        <v>16112</v>
      </c>
      <c r="D301" s="22">
        <v>45424</v>
      </c>
    </row>
    <row r="302" spans="1:4" x14ac:dyDescent="0.3">
      <c r="A302" s="14" t="s">
        <v>156</v>
      </c>
      <c r="B302" s="14" t="s">
        <v>785</v>
      </c>
      <c r="C302" s="21">
        <v>16121</v>
      </c>
      <c r="D302" s="22">
        <v>45425</v>
      </c>
    </row>
    <row r="303" spans="1:4" x14ac:dyDescent="0.3">
      <c r="A303" s="14" t="s">
        <v>387</v>
      </c>
      <c r="B303" s="14" t="s">
        <v>786</v>
      </c>
      <c r="C303" s="21">
        <v>8345</v>
      </c>
      <c r="D303" s="22">
        <v>45425</v>
      </c>
    </row>
    <row r="304" spans="1:4" x14ac:dyDescent="0.3">
      <c r="A304" s="14" t="s">
        <v>238</v>
      </c>
      <c r="B304" s="14" t="s">
        <v>784</v>
      </c>
      <c r="C304" s="21">
        <v>8896</v>
      </c>
      <c r="D304" s="22">
        <v>45425</v>
      </c>
    </row>
    <row r="305" spans="1:4" x14ac:dyDescent="0.3">
      <c r="A305" s="14" t="s">
        <v>591</v>
      </c>
      <c r="B305" s="14" t="s">
        <v>785</v>
      </c>
      <c r="C305" s="21">
        <v>5204</v>
      </c>
      <c r="D305" s="22">
        <v>45426</v>
      </c>
    </row>
    <row r="306" spans="1:4" x14ac:dyDescent="0.3">
      <c r="A306" s="14" t="s">
        <v>639</v>
      </c>
      <c r="B306" s="14" t="s">
        <v>787</v>
      </c>
      <c r="C306" s="21">
        <v>16143</v>
      </c>
      <c r="D306" s="22">
        <v>45427</v>
      </c>
    </row>
    <row r="307" spans="1:4" x14ac:dyDescent="0.3">
      <c r="A307" s="14" t="s">
        <v>664</v>
      </c>
      <c r="B307" s="14" t="s">
        <v>787</v>
      </c>
      <c r="C307" s="21">
        <v>6841</v>
      </c>
      <c r="D307" s="22">
        <v>45427</v>
      </c>
    </row>
    <row r="308" spans="1:4" x14ac:dyDescent="0.3">
      <c r="A308" s="14" t="s">
        <v>599</v>
      </c>
      <c r="B308" s="14" t="s">
        <v>784</v>
      </c>
      <c r="C308" s="21">
        <v>10438</v>
      </c>
      <c r="D308" s="22">
        <v>45427</v>
      </c>
    </row>
    <row r="309" spans="1:4" x14ac:dyDescent="0.3">
      <c r="A309" s="14" t="s">
        <v>571</v>
      </c>
      <c r="B309" s="14" t="s">
        <v>787</v>
      </c>
      <c r="C309" s="21">
        <v>9979</v>
      </c>
      <c r="D309" s="22">
        <v>45428</v>
      </c>
    </row>
    <row r="310" spans="1:4" x14ac:dyDescent="0.3">
      <c r="A310" s="14" t="s">
        <v>242</v>
      </c>
      <c r="B310" s="14" t="s">
        <v>787</v>
      </c>
      <c r="C310" s="21">
        <v>9669</v>
      </c>
      <c r="D310" s="22">
        <v>45428</v>
      </c>
    </row>
    <row r="311" spans="1:4" x14ac:dyDescent="0.3">
      <c r="A311" s="14" t="s">
        <v>228</v>
      </c>
      <c r="B311" s="14" t="s">
        <v>786</v>
      </c>
      <c r="C311" s="21">
        <v>8290</v>
      </c>
      <c r="D311" s="22">
        <v>45429</v>
      </c>
    </row>
    <row r="312" spans="1:4" x14ac:dyDescent="0.3">
      <c r="A312" s="14" t="s">
        <v>175</v>
      </c>
      <c r="B312" s="14" t="s">
        <v>812</v>
      </c>
      <c r="C312" s="21">
        <v>7718</v>
      </c>
      <c r="D312" s="22">
        <v>45429</v>
      </c>
    </row>
    <row r="313" spans="1:4" x14ac:dyDescent="0.3">
      <c r="A313" s="14" t="s">
        <v>719</v>
      </c>
      <c r="B313" s="14" t="s">
        <v>786</v>
      </c>
      <c r="C313" s="21">
        <v>7203</v>
      </c>
      <c r="D313" s="22">
        <v>45430</v>
      </c>
    </row>
    <row r="314" spans="1:4" x14ac:dyDescent="0.3">
      <c r="A314" s="14" t="s">
        <v>565</v>
      </c>
      <c r="B314" s="14" t="s">
        <v>786</v>
      </c>
      <c r="C314" s="21">
        <v>12120</v>
      </c>
      <c r="D314" s="22">
        <v>45430</v>
      </c>
    </row>
    <row r="315" spans="1:4" x14ac:dyDescent="0.3">
      <c r="A315" s="14" t="s">
        <v>470</v>
      </c>
      <c r="B315" s="14" t="s">
        <v>783</v>
      </c>
      <c r="C315" s="21">
        <v>8750</v>
      </c>
      <c r="D315" s="22">
        <v>45430</v>
      </c>
    </row>
    <row r="316" spans="1:4" x14ac:dyDescent="0.3">
      <c r="A316" s="14" t="s">
        <v>171</v>
      </c>
      <c r="B316" s="14" t="s">
        <v>787</v>
      </c>
      <c r="C316" s="21">
        <v>5553</v>
      </c>
      <c r="D316" s="22">
        <v>45430</v>
      </c>
    </row>
    <row r="317" spans="1:4" x14ac:dyDescent="0.3">
      <c r="A317" s="14" t="s">
        <v>505</v>
      </c>
      <c r="B317" s="14" t="s">
        <v>784</v>
      </c>
      <c r="C317" s="21">
        <v>7880</v>
      </c>
      <c r="D317" s="22">
        <v>45430</v>
      </c>
    </row>
    <row r="318" spans="1:4" x14ac:dyDescent="0.3">
      <c r="A318" s="14" t="s">
        <v>117</v>
      </c>
      <c r="B318" s="14" t="s">
        <v>786</v>
      </c>
      <c r="C318" s="21">
        <v>8463</v>
      </c>
      <c r="D318" s="22">
        <v>45431</v>
      </c>
    </row>
    <row r="319" spans="1:4" x14ac:dyDescent="0.3">
      <c r="A319" s="14" t="s">
        <v>689</v>
      </c>
      <c r="B319" s="14" t="s">
        <v>783</v>
      </c>
      <c r="C319" s="21">
        <v>16726</v>
      </c>
      <c r="D319" s="22">
        <v>45431</v>
      </c>
    </row>
    <row r="320" spans="1:4" x14ac:dyDescent="0.3">
      <c r="A320" s="14" t="s">
        <v>101</v>
      </c>
      <c r="B320" s="14" t="s">
        <v>785</v>
      </c>
      <c r="C320" s="21">
        <v>5209</v>
      </c>
      <c r="D320" s="22">
        <v>45432</v>
      </c>
    </row>
    <row r="321" spans="1:4" x14ac:dyDescent="0.3">
      <c r="A321" s="14" t="s">
        <v>403</v>
      </c>
      <c r="B321" s="14" t="s">
        <v>786</v>
      </c>
      <c r="C321" s="21">
        <v>7174</v>
      </c>
      <c r="D321" s="22">
        <v>45432</v>
      </c>
    </row>
    <row r="322" spans="1:4" x14ac:dyDescent="0.3">
      <c r="A322" s="14" t="s">
        <v>60</v>
      </c>
      <c r="B322" s="14" t="s">
        <v>785</v>
      </c>
      <c r="C322" s="21">
        <v>5124</v>
      </c>
      <c r="D322" s="22">
        <v>45434</v>
      </c>
    </row>
    <row r="323" spans="1:4" x14ac:dyDescent="0.3">
      <c r="A323" s="14" t="s">
        <v>248</v>
      </c>
      <c r="B323" s="14" t="s">
        <v>787</v>
      </c>
      <c r="C323" s="21">
        <v>13782</v>
      </c>
      <c r="D323" s="22">
        <v>45434</v>
      </c>
    </row>
    <row r="324" spans="1:4" x14ac:dyDescent="0.3">
      <c r="A324" s="14" t="s">
        <v>695</v>
      </c>
      <c r="B324" s="14" t="s">
        <v>787</v>
      </c>
      <c r="C324" s="21">
        <v>10386</v>
      </c>
      <c r="D324" s="22">
        <v>45436</v>
      </c>
    </row>
    <row r="325" spans="1:4" x14ac:dyDescent="0.3">
      <c r="A325" s="14" t="s">
        <v>319</v>
      </c>
      <c r="B325" s="14" t="s">
        <v>787</v>
      </c>
      <c r="C325" s="21">
        <v>14605</v>
      </c>
      <c r="D325" s="22">
        <v>45437</v>
      </c>
    </row>
    <row r="326" spans="1:4" x14ac:dyDescent="0.3">
      <c r="A326" s="14" t="s">
        <v>321</v>
      </c>
      <c r="B326" s="14" t="s">
        <v>784</v>
      </c>
      <c r="C326" s="21">
        <v>14664</v>
      </c>
      <c r="D326" s="22">
        <v>45437</v>
      </c>
    </row>
    <row r="327" spans="1:4" x14ac:dyDescent="0.3">
      <c r="A327" s="14" t="s">
        <v>77</v>
      </c>
      <c r="B327" s="14" t="s">
        <v>786</v>
      </c>
      <c r="C327" s="21">
        <v>7042</v>
      </c>
      <c r="D327" s="22">
        <v>45438</v>
      </c>
    </row>
    <row r="328" spans="1:4" x14ac:dyDescent="0.3">
      <c r="A328" s="14" t="s">
        <v>275</v>
      </c>
      <c r="B328" s="14" t="s">
        <v>786</v>
      </c>
      <c r="C328" s="21">
        <v>11518</v>
      </c>
      <c r="D328" s="22">
        <v>45439</v>
      </c>
    </row>
    <row r="329" spans="1:4" x14ac:dyDescent="0.3">
      <c r="A329" s="14" t="s">
        <v>439</v>
      </c>
      <c r="B329" s="14" t="s">
        <v>787</v>
      </c>
      <c r="C329" s="21">
        <v>5034</v>
      </c>
      <c r="D329" s="22">
        <v>45439</v>
      </c>
    </row>
    <row r="330" spans="1:4" x14ac:dyDescent="0.3">
      <c r="A330" s="14" t="s">
        <v>454</v>
      </c>
      <c r="B330" s="14" t="s">
        <v>786</v>
      </c>
      <c r="C330" s="21">
        <v>16492</v>
      </c>
      <c r="D330" s="22">
        <v>45440</v>
      </c>
    </row>
    <row r="331" spans="1:4" x14ac:dyDescent="0.3">
      <c r="A331" s="14" t="s">
        <v>652</v>
      </c>
      <c r="B331" s="14" t="s">
        <v>784</v>
      </c>
      <c r="C331" s="21">
        <v>13734</v>
      </c>
      <c r="D331" s="22">
        <v>45440</v>
      </c>
    </row>
    <row r="332" spans="1:4" x14ac:dyDescent="0.3">
      <c r="A332" s="14" t="s">
        <v>161</v>
      </c>
      <c r="B332" s="14" t="s">
        <v>786</v>
      </c>
      <c r="C332" s="21">
        <v>11938</v>
      </c>
      <c r="D332" s="22">
        <v>45441</v>
      </c>
    </row>
    <row r="333" spans="1:4" x14ac:dyDescent="0.3">
      <c r="A333" s="14" t="s">
        <v>668</v>
      </c>
      <c r="B333" s="14" t="s">
        <v>783</v>
      </c>
      <c r="C333" s="21">
        <v>14365</v>
      </c>
      <c r="D333" s="22">
        <v>45441</v>
      </c>
    </row>
    <row r="334" spans="1:4" x14ac:dyDescent="0.3">
      <c r="A334" s="14" t="s">
        <v>231</v>
      </c>
      <c r="B334" s="14" t="s">
        <v>784</v>
      </c>
      <c r="C334" s="21">
        <v>8743</v>
      </c>
      <c r="D334" s="22">
        <v>45441</v>
      </c>
    </row>
    <row r="335" spans="1:4" x14ac:dyDescent="0.3">
      <c r="A335" s="14" t="s">
        <v>347</v>
      </c>
      <c r="B335" s="14" t="s">
        <v>785</v>
      </c>
      <c r="C335" s="21">
        <v>10365</v>
      </c>
      <c r="D335" s="22">
        <v>45442</v>
      </c>
    </row>
    <row r="336" spans="1:4" x14ac:dyDescent="0.3">
      <c r="A336" s="14" t="s">
        <v>357</v>
      </c>
      <c r="B336" s="14" t="s">
        <v>787</v>
      </c>
      <c r="C336" s="21">
        <v>6339</v>
      </c>
      <c r="D336" s="22">
        <v>45442</v>
      </c>
    </row>
    <row r="337" spans="1:4" x14ac:dyDescent="0.3">
      <c r="A337" s="14" t="s">
        <v>443</v>
      </c>
      <c r="B337" s="14" t="s">
        <v>786</v>
      </c>
      <c r="C337" s="21">
        <v>16960</v>
      </c>
      <c r="D337" s="22">
        <v>45443</v>
      </c>
    </row>
    <row r="338" spans="1:4" x14ac:dyDescent="0.3">
      <c r="A338" s="14" t="s">
        <v>311</v>
      </c>
      <c r="B338" s="14" t="s">
        <v>783</v>
      </c>
      <c r="C338" s="21">
        <v>15058</v>
      </c>
      <c r="D338" s="22">
        <v>45443</v>
      </c>
    </row>
    <row r="339" spans="1:4" x14ac:dyDescent="0.3">
      <c r="A339" s="14" t="s">
        <v>102</v>
      </c>
      <c r="B339" s="14" t="s">
        <v>785</v>
      </c>
      <c r="C339" s="21">
        <v>9599</v>
      </c>
      <c r="D339" s="22">
        <v>45444</v>
      </c>
    </row>
    <row r="340" spans="1:4" x14ac:dyDescent="0.3">
      <c r="A340" s="14" t="s">
        <v>444</v>
      </c>
      <c r="B340" s="14" t="s">
        <v>812</v>
      </c>
      <c r="C340" s="21">
        <v>10983</v>
      </c>
      <c r="D340" s="22">
        <v>45444</v>
      </c>
    </row>
    <row r="341" spans="1:4" x14ac:dyDescent="0.3">
      <c r="A341" s="14" t="s">
        <v>295</v>
      </c>
      <c r="B341" s="14" t="s">
        <v>783</v>
      </c>
      <c r="C341" s="21">
        <v>5118</v>
      </c>
      <c r="D341" s="22">
        <v>45444</v>
      </c>
    </row>
    <row r="342" spans="1:4" x14ac:dyDescent="0.3">
      <c r="A342" s="14" t="s">
        <v>88</v>
      </c>
      <c r="B342" s="14" t="s">
        <v>787</v>
      </c>
      <c r="C342" s="21">
        <v>9538</v>
      </c>
      <c r="D342" s="22">
        <v>45444</v>
      </c>
    </row>
    <row r="343" spans="1:4" x14ac:dyDescent="0.3">
      <c r="A343" s="14" t="s">
        <v>58</v>
      </c>
      <c r="B343" s="14" t="s">
        <v>785</v>
      </c>
      <c r="C343" s="21">
        <v>6738</v>
      </c>
      <c r="D343" s="22">
        <v>45445</v>
      </c>
    </row>
    <row r="344" spans="1:4" x14ac:dyDescent="0.3">
      <c r="A344" s="14" t="s">
        <v>460</v>
      </c>
      <c r="B344" s="14" t="s">
        <v>785</v>
      </c>
      <c r="C344" s="21">
        <v>16622</v>
      </c>
      <c r="D344" s="22">
        <v>45445</v>
      </c>
    </row>
    <row r="345" spans="1:4" x14ac:dyDescent="0.3">
      <c r="A345" s="14" t="s">
        <v>126</v>
      </c>
      <c r="B345" s="14" t="s">
        <v>786</v>
      </c>
      <c r="C345" s="21">
        <v>8469</v>
      </c>
      <c r="D345" s="22">
        <v>45445</v>
      </c>
    </row>
    <row r="346" spans="1:4" x14ac:dyDescent="0.3">
      <c r="A346" s="14" t="s">
        <v>188</v>
      </c>
      <c r="B346" s="14" t="s">
        <v>786</v>
      </c>
      <c r="C346" s="21">
        <v>15522</v>
      </c>
      <c r="D346" s="22">
        <v>45445</v>
      </c>
    </row>
    <row r="347" spans="1:4" x14ac:dyDescent="0.3">
      <c r="A347" s="14" t="s">
        <v>114</v>
      </c>
      <c r="B347" s="14" t="s">
        <v>784</v>
      </c>
      <c r="C347" s="21">
        <v>15973</v>
      </c>
      <c r="D347" s="22">
        <v>45445</v>
      </c>
    </row>
    <row r="348" spans="1:4" x14ac:dyDescent="0.3">
      <c r="A348" s="14" t="s">
        <v>111</v>
      </c>
      <c r="B348" s="14" t="s">
        <v>785</v>
      </c>
      <c r="C348" s="21">
        <v>16385</v>
      </c>
      <c r="D348" s="22">
        <v>45446</v>
      </c>
    </row>
    <row r="349" spans="1:4" x14ac:dyDescent="0.3">
      <c r="A349" s="14" t="s">
        <v>326</v>
      </c>
      <c r="B349" s="14" t="s">
        <v>812</v>
      </c>
      <c r="C349" s="21">
        <v>10666</v>
      </c>
      <c r="D349" s="22">
        <v>45446</v>
      </c>
    </row>
    <row r="350" spans="1:4" x14ac:dyDescent="0.3">
      <c r="A350" s="14" t="s">
        <v>348</v>
      </c>
      <c r="B350" s="14" t="s">
        <v>784</v>
      </c>
      <c r="C350" s="21">
        <v>15723</v>
      </c>
      <c r="D350" s="22">
        <v>45446</v>
      </c>
    </row>
    <row r="351" spans="1:4" x14ac:dyDescent="0.3">
      <c r="A351" s="14" t="s">
        <v>796</v>
      </c>
      <c r="B351" s="14" t="s">
        <v>784</v>
      </c>
      <c r="C351" s="21">
        <v>10774</v>
      </c>
      <c r="D351" s="22">
        <v>45446</v>
      </c>
    </row>
    <row r="352" spans="1:4" x14ac:dyDescent="0.3">
      <c r="A352" s="14" t="s">
        <v>493</v>
      </c>
      <c r="B352" s="14" t="s">
        <v>785</v>
      </c>
      <c r="C352" s="21">
        <v>11763</v>
      </c>
      <c r="D352" s="22">
        <v>45447</v>
      </c>
    </row>
    <row r="353" spans="1:4" x14ac:dyDescent="0.3">
      <c r="A353" s="14" t="s">
        <v>411</v>
      </c>
      <c r="B353" s="14" t="s">
        <v>785</v>
      </c>
      <c r="C353" s="21">
        <v>8191</v>
      </c>
      <c r="D353" s="22">
        <v>45448</v>
      </c>
    </row>
    <row r="354" spans="1:4" x14ac:dyDescent="0.3">
      <c r="A354" s="14" t="s">
        <v>282</v>
      </c>
      <c r="B354" s="14" t="s">
        <v>786</v>
      </c>
      <c r="C354" s="21">
        <v>10687</v>
      </c>
      <c r="D354" s="22">
        <v>45448</v>
      </c>
    </row>
    <row r="355" spans="1:4" x14ac:dyDescent="0.3">
      <c r="A355" s="14" t="s">
        <v>232</v>
      </c>
      <c r="B355" s="14" t="s">
        <v>783</v>
      </c>
      <c r="C355" s="21">
        <v>14810</v>
      </c>
      <c r="D355" s="22">
        <v>45448</v>
      </c>
    </row>
    <row r="356" spans="1:4" x14ac:dyDescent="0.3">
      <c r="A356" s="14" t="s">
        <v>538</v>
      </c>
      <c r="B356" s="14" t="s">
        <v>787</v>
      </c>
      <c r="C356" s="21">
        <v>5903</v>
      </c>
      <c r="D356" s="22">
        <v>45449</v>
      </c>
    </row>
    <row r="357" spans="1:4" x14ac:dyDescent="0.3">
      <c r="A357" s="14" t="s">
        <v>797</v>
      </c>
      <c r="B357" s="14" t="s">
        <v>812</v>
      </c>
      <c r="C357" s="21">
        <v>16932</v>
      </c>
      <c r="D357" s="22">
        <v>45450</v>
      </c>
    </row>
    <row r="358" spans="1:4" x14ac:dyDescent="0.3">
      <c r="A358" s="14" t="s">
        <v>283</v>
      </c>
      <c r="B358" s="14" t="s">
        <v>783</v>
      </c>
      <c r="C358" s="21">
        <v>16757</v>
      </c>
      <c r="D358" s="22">
        <v>45450</v>
      </c>
    </row>
    <row r="359" spans="1:4" x14ac:dyDescent="0.3">
      <c r="A359" s="14" t="s">
        <v>501</v>
      </c>
      <c r="B359" s="14" t="s">
        <v>785</v>
      </c>
      <c r="C359" s="21">
        <v>10455</v>
      </c>
      <c r="D359" s="22">
        <v>45451</v>
      </c>
    </row>
    <row r="360" spans="1:4" x14ac:dyDescent="0.3">
      <c r="A360" s="14" t="s">
        <v>105</v>
      </c>
      <c r="B360" s="14" t="s">
        <v>785</v>
      </c>
      <c r="C360" s="21">
        <v>11151</v>
      </c>
      <c r="D360" s="22">
        <v>45451</v>
      </c>
    </row>
    <row r="361" spans="1:4" x14ac:dyDescent="0.3">
      <c r="A361" s="14" t="s">
        <v>74</v>
      </c>
      <c r="B361" s="14" t="s">
        <v>812</v>
      </c>
      <c r="C361" s="21">
        <v>14125</v>
      </c>
      <c r="D361" s="22">
        <v>45451</v>
      </c>
    </row>
    <row r="362" spans="1:4" x14ac:dyDescent="0.3">
      <c r="A362" s="14" t="s">
        <v>254</v>
      </c>
      <c r="B362" s="14" t="s">
        <v>787</v>
      </c>
      <c r="C362" s="21">
        <v>11778</v>
      </c>
      <c r="D362" s="22">
        <v>45451</v>
      </c>
    </row>
    <row r="363" spans="1:4" x14ac:dyDescent="0.3">
      <c r="A363" s="14" t="s">
        <v>81</v>
      </c>
      <c r="B363" s="14" t="s">
        <v>785</v>
      </c>
      <c r="C363" s="21">
        <v>12722</v>
      </c>
      <c r="D363" s="22">
        <v>45452</v>
      </c>
    </row>
    <row r="364" spans="1:4" x14ac:dyDescent="0.3">
      <c r="A364" s="14" t="s">
        <v>270</v>
      </c>
      <c r="B364" s="14" t="s">
        <v>812</v>
      </c>
      <c r="C364" s="21">
        <v>16249</v>
      </c>
      <c r="D364" s="22">
        <v>45452</v>
      </c>
    </row>
    <row r="365" spans="1:4" x14ac:dyDescent="0.3">
      <c r="A365" s="14" t="s">
        <v>573</v>
      </c>
      <c r="B365" s="14" t="s">
        <v>783</v>
      </c>
      <c r="C365" s="21">
        <v>16109</v>
      </c>
      <c r="D365" s="22">
        <v>45452</v>
      </c>
    </row>
    <row r="366" spans="1:4" x14ac:dyDescent="0.3">
      <c r="A366" s="14" t="s">
        <v>151</v>
      </c>
      <c r="B366" s="14" t="s">
        <v>783</v>
      </c>
      <c r="C366" s="21">
        <v>10947</v>
      </c>
      <c r="D366" s="22">
        <v>45452</v>
      </c>
    </row>
    <row r="367" spans="1:4" x14ac:dyDescent="0.3">
      <c r="A367" s="14" t="s">
        <v>798</v>
      </c>
      <c r="B367" s="14" t="s">
        <v>783</v>
      </c>
      <c r="C367" s="21">
        <v>8102</v>
      </c>
      <c r="D367" s="22">
        <v>45452</v>
      </c>
    </row>
    <row r="368" spans="1:4" x14ac:dyDescent="0.3">
      <c r="A368" s="14" t="s">
        <v>258</v>
      </c>
      <c r="B368" s="14" t="s">
        <v>783</v>
      </c>
      <c r="C368" s="21">
        <v>9884</v>
      </c>
      <c r="D368" s="22">
        <v>45452</v>
      </c>
    </row>
    <row r="369" spans="1:4" x14ac:dyDescent="0.3">
      <c r="A369" s="14" t="s">
        <v>7</v>
      </c>
      <c r="B369" s="14" t="s">
        <v>787</v>
      </c>
      <c r="C369" s="21">
        <v>13142</v>
      </c>
      <c r="D369" s="22">
        <v>45452</v>
      </c>
    </row>
    <row r="370" spans="1:4" x14ac:dyDescent="0.3">
      <c r="A370" s="14" t="s">
        <v>136</v>
      </c>
      <c r="B370" s="14" t="s">
        <v>784</v>
      </c>
      <c r="C370" s="21">
        <v>7762</v>
      </c>
      <c r="D370" s="22">
        <v>45453</v>
      </c>
    </row>
    <row r="371" spans="1:4" x14ac:dyDescent="0.3">
      <c r="A371" s="23" t="s">
        <v>799</v>
      </c>
      <c r="B371" s="14" t="s">
        <v>785</v>
      </c>
      <c r="C371" s="21">
        <v>7745</v>
      </c>
      <c r="D371" s="22">
        <v>45454</v>
      </c>
    </row>
    <row r="372" spans="1:4" x14ac:dyDescent="0.3">
      <c r="A372" s="14" t="s">
        <v>196</v>
      </c>
      <c r="B372" s="14" t="s">
        <v>785</v>
      </c>
      <c r="C372" s="21">
        <v>13543</v>
      </c>
      <c r="D372" s="22">
        <v>45454</v>
      </c>
    </row>
    <row r="373" spans="1:4" x14ac:dyDescent="0.3">
      <c r="A373" s="14" t="s">
        <v>726</v>
      </c>
      <c r="B373" s="14" t="s">
        <v>786</v>
      </c>
      <c r="C373" s="21">
        <v>16108</v>
      </c>
      <c r="D373" s="22">
        <v>45454</v>
      </c>
    </row>
    <row r="374" spans="1:4" x14ac:dyDescent="0.3">
      <c r="A374" s="14" t="s">
        <v>237</v>
      </c>
      <c r="B374" s="14" t="s">
        <v>787</v>
      </c>
      <c r="C374" s="21">
        <v>7616</v>
      </c>
      <c r="D374" s="22">
        <v>45454</v>
      </c>
    </row>
    <row r="375" spans="1:4" x14ac:dyDescent="0.3">
      <c r="A375" s="14" t="s">
        <v>173</v>
      </c>
      <c r="B375" s="14" t="s">
        <v>784</v>
      </c>
      <c r="C375" s="21">
        <v>15488</v>
      </c>
      <c r="D375" s="22">
        <v>45454</v>
      </c>
    </row>
    <row r="376" spans="1:4" x14ac:dyDescent="0.3">
      <c r="A376" s="23" t="s">
        <v>766</v>
      </c>
      <c r="B376" s="14" t="s">
        <v>785</v>
      </c>
      <c r="C376" s="21">
        <v>9922</v>
      </c>
      <c r="D376" s="22">
        <v>45455</v>
      </c>
    </row>
    <row r="377" spans="1:4" x14ac:dyDescent="0.3">
      <c r="A377" s="14" t="s">
        <v>643</v>
      </c>
      <c r="B377" s="14" t="s">
        <v>783</v>
      </c>
      <c r="C377" s="21">
        <v>5792</v>
      </c>
      <c r="D377" s="22">
        <v>45455</v>
      </c>
    </row>
    <row r="378" spans="1:4" x14ac:dyDescent="0.3">
      <c r="A378" s="14" t="s">
        <v>492</v>
      </c>
      <c r="B378" s="14" t="s">
        <v>784</v>
      </c>
      <c r="C378" s="21">
        <v>16405</v>
      </c>
      <c r="D378" s="22">
        <v>45456</v>
      </c>
    </row>
    <row r="379" spans="1:4" x14ac:dyDescent="0.3">
      <c r="A379" s="14" t="s">
        <v>496</v>
      </c>
      <c r="B379" s="14" t="s">
        <v>786</v>
      </c>
      <c r="C379" s="21">
        <v>9808</v>
      </c>
      <c r="D379" s="22">
        <v>45457</v>
      </c>
    </row>
    <row r="380" spans="1:4" x14ac:dyDescent="0.3">
      <c r="A380" s="14" t="s">
        <v>375</v>
      </c>
      <c r="B380" s="14" t="s">
        <v>785</v>
      </c>
      <c r="C380" s="21">
        <v>7460</v>
      </c>
      <c r="D380" s="22">
        <v>45458</v>
      </c>
    </row>
    <row r="381" spans="1:4" x14ac:dyDescent="0.3">
      <c r="A381" s="14" t="s">
        <v>266</v>
      </c>
      <c r="B381" s="14" t="s">
        <v>812</v>
      </c>
      <c r="C381" s="21">
        <v>12088</v>
      </c>
      <c r="D381" s="22">
        <v>45458</v>
      </c>
    </row>
    <row r="382" spans="1:4" x14ac:dyDescent="0.3">
      <c r="A382" s="14" t="s">
        <v>553</v>
      </c>
      <c r="B382" s="14" t="s">
        <v>783</v>
      </c>
      <c r="C382" s="21">
        <v>16655</v>
      </c>
      <c r="D382" s="22">
        <v>45458</v>
      </c>
    </row>
    <row r="383" spans="1:4" x14ac:dyDescent="0.3">
      <c r="A383" s="14" t="s">
        <v>625</v>
      </c>
      <c r="B383" s="14" t="s">
        <v>787</v>
      </c>
      <c r="C383" s="21">
        <v>8785</v>
      </c>
      <c r="D383" s="22">
        <v>45458</v>
      </c>
    </row>
    <row r="384" spans="1:4" x14ac:dyDescent="0.3">
      <c r="A384" s="14" t="s">
        <v>59</v>
      </c>
      <c r="B384" s="14" t="s">
        <v>785</v>
      </c>
      <c r="C384" s="21">
        <v>9355</v>
      </c>
      <c r="D384" s="22">
        <v>45460</v>
      </c>
    </row>
    <row r="385" spans="1:4" x14ac:dyDescent="0.3">
      <c r="A385" s="14" t="s">
        <v>498</v>
      </c>
      <c r="B385" s="14" t="s">
        <v>785</v>
      </c>
      <c r="C385" s="21">
        <v>15818</v>
      </c>
      <c r="D385" s="22">
        <v>45461</v>
      </c>
    </row>
    <row r="386" spans="1:4" x14ac:dyDescent="0.3">
      <c r="A386" s="14" t="s">
        <v>532</v>
      </c>
      <c r="B386" s="14" t="s">
        <v>786</v>
      </c>
      <c r="C386" s="21">
        <v>9163</v>
      </c>
      <c r="D386" s="22">
        <v>45461</v>
      </c>
    </row>
    <row r="387" spans="1:4" x14ac:dyDescent="0.3">
      <c r="A387" s="14" t="s">
        <v>323</v>
      </c>
      <c r="B387" s="14" t="s">
        <v>785</v>
      </c>
      <c r="C387" s="21">
        <v>13864</v>
      </c>
      <c r="D387" s="22">
        <v>45462</v>
      </c>
    </row>
    <row r="388" spans="1:4" x14ac:dyDescent="0.3">
      <c r="A388" s="14" t="s">
        <v>771</v>
      </c>
      <c r="B388" s="14" t="s">
        <v>784</v>
      </c>
      <c r="C388" s="21">
        <v>12986</v>
      </c>
      <c r="D388" s="22">
        <v>45462</v>
      </c>
    </row>
    <row r="389" spans="1:4" x14ac:dyDescent="0.3">
      <c r="A389" s="14" t="s">
        <v>65</v>
      </c>
      <c r="B389" s="14" t="s">
        <v>787</v>
      </c>
      <c r="C389" s="21">
        <v>15453</v>
      </c>
      <c r="D389" s="22">
        <v>45463</v>
      </c>
    </row>
    <row r="390" spans="1:4" x14ac:dyDescent="0.3">
      <c r="A390" s="14" t="s">
        <v>730</v>
      </c>
      <c r="B390" s="14" t="s">
        <v>785</v>
      </c>
      <c r="C390" s="21">
        <v>15545</v>
      </c>
      <c r="D390" s="22">
        <v>45465</v>
      </c>
    </row>
    <row r="391" spans="1:4" x14ac:dyDescent="0.3">
      <c r="A391" s="14" t="s">
        <v>655</v>
      </c>
      <c r="B391" s="14" t="s">
        <v>785</v>
      </c>
      <c r="C391" s="21">
        <v>15236</v>
      </c>
      <c r="D391" s="22">
        <v>45465</v>
      </c>
    </row>
    <row r="392" spans="1:4" x14ac:dyDescent="0.3">
      <c r="A392" s="14" t="s">
        <v>354</v>
      </c>
      <c r="B392" s="14" t="s">
        <v>786</v>
      </c>
      <c r="C392" s="21">
        <v>16793</v>
      </c>
      <c r="D392" s="22">
        <v>45466</v>
      </c>
    </row>
    <row r="393" spans="1:4" x14ac:dyDescent="0.3">
      <c r="A393" s="14" t="s">
        <v>401</v>
      </c>
      <c r="B393" s="14" t="s">
        <v>786</v>
      </c>
      <c r="C393" s="21">
        <v>15011</v>
      </c>
      <c r="D393" s="22">
        <v>45466</v>
      </c>
    </row>
    <row r="394" spans="1:4" x14ac:dyDescent="0.3">
      <c r="A394" s="14" t="s">
        <v>707</v>
      </c>
      <c r="B394" s="14" t="s">
        <v>787</v>
      </c>
      <c r="C394" s="21">
        <v>9087</v>
      </c>
      <c r="D394" s="22">
        <v>45466</v>
      </c>
    </row>
    <row r="395" spans="1:4" x14ac:dyDescent="0.3">
      <c r="A395" s="14" t="s">
        <v>497</v>
      </c>
      <c r="B395" s="14" t="s">
        <v>785</v>
      </c>
      <c r="C395" s="21">
        <v>5919</v>
      </c>
      <c r="D395" s="22">
        <v>45467</v>
      </c>
    </row>
    <row r="396" spans="1:4" x14ac:dyDescent="0.3">
      <c r="A396" s="14" t="s">
        <v>334</v>
      </c>
      <c r="B396" s="14" t="s">
        <v>787</v>
      </c>
      <c r="C396" s="21">
        <v>14279</v>
      </c>
      <c r="D396" s="22">
        <v>45467</v>
      </c>
    </row>
    <row r="397" spans="1:4" x14ac:dyDescent="0.3">
      <c r="A397" s="14" t="s">
        <v>95</v>
      </c>
      <c r="B397" s="14" t="s">
        <v>785</v>
      </c>
      <c r="C397" s="21">
        <v>9818</v>
      </c>
      <c r="D397" s="22">
        <v>45468</v>
      </c>
    </row>
    <row r="398" spans="1:4" x14ac:dyDescent="0.3">
      <c r="A398" s="14" t="s">
        <v>409</v>
      </c>
      <c r="B398" s="14" t="s">
        <v>785</v>
      </c>
      <c r="C398" s="21">
        <v>12452</v>
      </c>
      <c r="D398" s="22">
        <v>45468</v>
      </c>
    </row>
    <row r="399" spans="1:4" x14ac:dyDescent="0.3">
      <c r="A399" s="14" t="s">
        <v>476</v>
      </c>
      <c r="B399" s="14" t="s">
        <v>784</v>
      </c>
      <c r="C399" s="21">
        <v>10108</v>
      </c>
      <c r="D399" s="22">
        <v>45468</v>
      </c>
    </row>
    <row r="400" spans="1:4" x14ac:dyDescent="0.3">
      <c r="A400" s="14" t="s">
        <v>621</v>
      </c>
      <c r="B400" s="14" t="s">
        <v>786</v>
      </c>
      <c r="C400" s="21">
        <v>9077</v>
      </c>
      <c r="D400" s="22">
        <v>45469</v>
      </c>
    </row>
    <row r="401" spans="1:4" x14ac:dyDescent="0.3">
      <c r="A401" s="14" t="s">
        <v>735</v>
      </c>
      <c r="B401" s="14" t="s">
        <v>786</v>
      </c>
      <c r="C401" s="21">
        <v>11058</v>
      </c>
      <c r="D401" s="22">
        <v>45469</v>
      </c>
    </row>
    <row r="402" spans="1:4" x14ac:dyDescent="0.3">
      <c r="A402" s="14" t="s">
        <v>820</v>
      </c>
      <c r="B402" s="14" t="s">
        <v>812</v>
      </c>
      <c r="C402" s="21">
        <v>7667</v>
      </c>
      <c r="D402" s="22">
        <v>45469</v>
      </c>
    </row>
    <row r="403" spans="1:4" x14ac:dyDescent="0.3">
      <c r="A403" s="14" t="s">
        <v>301</v>
      </c>
      <c r="B403" s="14" t="s">
        <v>785</v>
      </c>
      <c r="C403" s="21">
        <v>8310</v>
      </c>
      <c r="D403" s="22">
        <v>45469</v>
      </c>
    </row>
    <row r="404" spans="1:4" x14ac:dyDescent="0.3">
      <c r="A404" s="14" t="s">
        <v>428</v>
      </c>
      <c r="B404" s="14" t="s">
        <v>783</v>
      </c>
      <c r="C404" s="21">
        <v>13487</v>
      </c>
      <c r="D404" s="22">
        <v>45469</v>
      </c>
    </row>
    <row r="405" spans="1:4" x14ac:dyDescent="0.3">
      <c r="A405" s="14" t="s">
        <v>448</v>
      </c>
      <c r="B405" s="14" t="s">
        <v>787</v>
      </c>
      <c r="C405" s="21">
        <v>12798</v>
      </c>
      <c r="D405" s="22">
        <v>45470</v>
      </c>
    </row>
    <row r="406" spans="1:4" x14ac:dyDescent="0.3">
      <c r="A406" s="14" t="s">
        <v>314</v>
      </c>
      <c r="B406" s="14" t="s">
        <v>783</v>
      </c>
      <c r="C406" s="21">
        <v>15605</v>
      </c>
      <c r="D406" s="22">
        <v>45475</v>
      </c>
    </row>
    <row r="407" spans="1:4" x14ac:dyDescent="0.3">
      <c r="A407" s="14" t="s">
        <v>235</v>
      </c>
      <c r="B407" s="14" t="s">
        <v>784</v>
      </c>
      <c r="C407" s="21">
        <v>10552</v>
      </c>
      <c r="D407" s="22">
        <v>45475</v>
      </c>
    </row>
    <row r="408" spans="1:4" x14ac:dyDescent="0.3">
      <c r="A408" s="14" t="s">
        <v>140</v>
      </c>
      <c r="B408" s="14" t="s">
        <v>787</v>
      </c>
      <c r="C408" s="21">
        <v>7109</v>
      </c>
      <c r="D408" s="22">
        <v>45478</v>
      </c>
    </row>
    <row r="409" spans="1:4" x14ac:dyDescent="0.3">
      <c r="A409" s="14" t="s">
        <v>504</v>
      </c>
      <c r="B409" s="14" t="s">
        <v>784</v>
      </c>
      <c r="C409" s="21">
        <v>9113</v>
      </c>
      <c r="D409" s="22">
        <v>45478</v>
      </c>
    </row>
    <row r="410" spans="1:4" x14ac:dyDescent="0.3">
      <c r="A410" s="14" t="s">
        <v>70</v>
      </c>
      <c r="B410" s="14" t="s">
        <v>785</v>
      </c>
      <c r="C410" s="21">
        <v>11374</v>
      </c>
      <c r="D410" s="22">
        <v>45478</v>
      </c>
    </row>
    <row r="411" spans="1:4" x14ac:dyDescent="0.3">
      <c r="A411" s="14" t="s">
        <v>425</v>
      </c>
      <c r="B411" s="14" t="s">
        <v>786</v>
      </c>
      <c r="C411" s="21">
        <v>13179</v>
      </c>
      <c r="D411" s="22">
        <v>45478</v>
      </c>
    </row>
    <row r="412" spans="1:4" x14ac:dyDescent="0.3">
      <c r="A412" s="14" t="s">
        <v>413</v>
      </c>
      <c r="B412" s="14" t="s">
        <v>787</v>
      </c>
      <c r="C412" s="21">
        <v>7416</v>
      </c>
      <c r="D412" s="22">
        <v>45479</v>
      </c>
    </row>
    <row r="413" spans="1:4" x14ac:dyDescent="0.3">
      <c r="A413" s="14" t="s">
        <v>543</v>
      </c>
      <c r="B413" s="14" t="s">
        <v>784</v>
      </c>
      <c r="C413" s="21">
        <v>6697</v>
      </c>
      <c r="D413" s="22">
        <v>45479</v>
      </c>
    </row>
    <row r="414" spans="1:4" x14ac:dyDescent="0.3">
      <c r="A414" s="14" t="s">
        <v>559</v>
      </c>
      <c r="B414" s="14" t="s">
        <v>785</v>
      </c>
      <c r="C414" s="21">
        <v>13603</v>
      </c>
      <c r="D414" s="22">
        <v>45479</v>
      </c>
    </row>
    <row r="415" spans="1:4" x14ac:dyDescent="0.3">
      <c r="A415" s="14" t="s">
        <v>298</v>
      </c>
      <c r="B415" s="14" t="s">
        <v>785</v>
      </c>
      <c r="C415" s="21">
        <v>13718</v>
      </c>
      <c r="D415" s="22">
        <v>45479</v>
      </c>
    </row>
    <row r="416" spans="1:4" x14ac:dyDescent="0.3">
      <c r="A416" s="14" t="s">
        <v>468</v>
      </c>
      <c r="B416" s="14" t="s">
        <v>783</v>
      </c>
      <c r="C416" s="21">
        <v>5352</v>
      </c>
      <c r="D416" s="22">
        <v>45480</v>
      </c>
    </row>
    <row r="417" spans="1:4" x14ac:dyDescent="0.3">
      <c r="A417" s="14" t="s">
        <v>359</v>
      </c>
      <c r="B417" s="14" t="s">
        <v>784</v>
      </c>
      <c r="C417" s="21">
        <v>11348</v>
      </c>
      <c r="D417" s="22">
        <v>45480</v>
      </c>
    </row>
    <row r="418" spans="1:4" x14ac:dyDescent="0.3">
      <c r="A418" s="14" t="s">
        <v>383</v>
      </c>
      <c r="B418" s="14" t="s">
        <v>785</v>
      </c>
      <c r="C418" s="21">
        <v>12984</v>
      </c>
      <c r="D418" s="22">
        <v>45480</v>
      </c>
    </row>
    <row r="419" spans="1:4" x14ac:dyDescent="0.3">
      <c r="A419" s="14" t="s">
        <v>715</v>
      </c>
      <c r="B419" s="14" t="s">
        <v>783</v>
      </c>
      <c r="C419" s="21">
        <v>16905</v>
      </c>
      <c r="D419" s="22">
        <v>45480</v>
      </c>
    </row>
    <row r="420" spans="1:4" x14ac:dyDescent="0.3">
      <c r="A420" s="23" t="s">
        <v>800</v>
      </c>
      <c r="B420" s="14" t="s">
        <v>787</v>
      </c>
      <c r="C420" s="21">
        <v>11229</v>
      </c>
      <c r="D420" s="22">
        <v>45480</v>
      </c>
    </row>
    <row r="421" spans="1:4" x14ac:dyDescent="0.3">
      <c r="A421" s="14" t="s">
        <v>132</v>
      </c>
      <c r="B421" s="14" t="s">
        <v>784</v>
      </c>
      <c r="C421" s="21">
        <v>15189</v>
      </c>
      <c r="D421" s="22">
        <v>45481</v>
      </c>
    </row>
    <row r="422" spans="1:4" x14ac:dyDescent="0.3">
      <c r="A422" s="14" t="s">
        <v>436</v>
      </c>
      <c r="B422" s="14" t="s">
        <v>785</v>
      </c>
      <c r="C422" s="21">
        <v>15970</v>
      </c>
      <c r="D422" s="22">
        <v>45481</v>
      </c>
    </row>
    <row r="423" spans="1:4" x14ac:dyDescent="0.3">
      <c r="A423" s="14" t="s">
        <v>247</v>
      </c>
      <c r="B423" s="14" t="s">
        <v>785</v>
      </c>
      <c r="C423" s="21">
        <v>16359</v>
      </c>
      <c r="D423" s="22">
        <v>45481</v>
      </c>
    </row>
    <row r="424" spans="1:4" x14ac:dyDescent="0.3">
      <c r="A424" s="14" t="s">
        <v>773</v>
      </c>
      <c r="B424" s="14" t="s">
        <v>786</v>
      </c>
      <c r="C424" s="21">
        <v>8825</v>
      </c>
      <c r="D424" s="22">
        <v>45481</v>
      </c>
    </row>
    <row r="425" spans="1:4" x14ac:dyDescent="0.3">
      <c r="A425" s="14" t="s">
        <v>455</v>
      </c>
      <c r="B425" s="14" t="s">
        <v>783</v>
      </c>
      <c r="C425" s="21">
        <v>10973</v>
      </c>
      <c r="D425" s="22">
        <v>45481</v>
      </c>
    </row>
    <row r="426" spans="1:4" x14ac:dyDescent="0.3">
      <c r="A426" s="14" t="s">
        <v>150</v>
      </c>
      <c r="B426" s="14" t="s">
        <v>784</v>
      </c>
      <c r="C426" s="21">
        <v>6013</v>
      </c>
      <c r="D426" s="22">
        <v>45481</v>
      </c>
    </row>
    <row r="427" spans="1:4" x14ac:dyDescent="0.3">
      <c r="A427" s="14" t="s">
        <v>595</v>
      </c>
      <c r="B427" s="14" t="s">
        <v>787</v>
      </c>
      <c r="C427" s="21">
        <v>7328</v>
      </c>
      <c r="D427" s="22">
        <v>45481</v>
      </c>
    </row>
    <row r="428" spans="1:4" x14ac:dyDescent="0.3">
      <c r="A428" s="14" t="s">
        <v>515</v>
      </c>
      <c r="B428" s="14" t="s">
        <v>787</v>
      </c>
      <c r="C428" s="21">
        <v>10013</v>
      </c>
      <c r="D428" s="22">
        <v>45482</v>
      </c>
    </row>
    <row r="429" spans="1:4" x14ac:dyDescent="0.3">
      <c r="A429" s="14" t="s">
        <v>217</v>
      </c>
      <c r="B429" s="14" t="s">
        <v>784</v>
      </c>
      <c r="C429" s="21">
        <v>12073</v>
      </c>
      <c r="D429" s="22">
        <v>45482</v>
      </c>
    </row>
    <row r="430" spans="1:4" x14ac:dyDescent="0.3">
      <c r="A430" s="14" t="s">
        <v>486</v>
      </c>
      <c r="B430" s="14" t="s">
        <v>786</v>
      </c>
      <c r="C430" s="21">
        <v>6084</v>
      </c>
      <c r="D430" s="22">
        <v>45483</v>
      </c>
    </row>
    <row r="431" spans="1:4" x14ac:dyDescent="0.3">
      <c r="A431" s="14" t="s">
        <v>216</v>
      </c>
      <c r="B431" s="14" t="s">
        <v>786</v>
      </c>
      <c r="C431" s="21">
        <v>15190</v>
      </c>
      <c r="D431" s="22">
        <v>45483</v>
      </c>
    </row>
    <row r="432" spans="1:4" x14ac:dyDescent="0.3">
      <c r="A432" s="14" t="s">
        <v>459</v>
      </c>
      <c r="B432" s="14" t="s">
        <v>787</v>
      </c>
      <c r="C432" s="21">
        <v>5973</v>
      </c>
      <c r="D432" s="22">
        <v>45483</v>
      </c>
    </row>
    <row r="433" spans="1:4" x14ac:dyDescent="0.3">
      <c r="A433" s="14" t="s">
        <v>174</v>
      </c>
      <c r="B433" s="14" t="s">
        <v>786</v>
      </c>
      <c r="C433" s="21">
        <v>5773</v>
      </c>
      <c r="D433" s="22">
        <v>45485</v>
      </c>
    </row>
    <row r="434" spans="1:4" x14ac:dyDescent="0.3">
      <c r="A434" s="14" t="s">
        <v>569</v>
      </c>
      <c r="B434" s="14" t="s">
        <v>787</v>
      </c>
      <c r="C434" s="21">
        <v>16206</v>
      </c>
      <c r="D434" s="22">
        <v>45485</v>
      </c>
    </row>
    <row r="435" spans="1:4" x14ac:dyDescent="0.3">
      <c r="A435" s="14" t="s">
        <v>579</v>
      </c>
      <c r="B435" s="14" t="s">
        <v>786</v>
      </c>
      <c r="C435" s="21">
        <v>16370</v>
      </c>
      <c r="D435" s="22">
        <v>45486</v>
      </c>
    </row>
    <row r="436" spans="1:4" x14ac:dyDescent="0.3">
      <c r="A436" s="14" t="s">
        <v>200</v>
      </c>
      <c r="B436" s="14" t="s">
        <v>786</v>
      </c>
      <c r="C436" s="21">
        <v>11036</v>
      </c>
      <c r="D436" s="22">
        <v>45486</v>
      </c>
    </row>
    <row r="437" spans="1:4" x14ac:dyDescent="0.3">
      <c r="A437" s="14" t="s">
        <v>635</v>
      </c>
      <c r="B437" s="14" t="s">
        <v>812</v>
      </c>
      <c r="C437" s="21">
        <v>16798</v>
      </c>
      <c r="D437" s="22">
        <v>45486</v>
      </c>
    </row>
    <row r="438" spans="1:4" x14ac:dyDescent="0.3">
      <c r="A438" s="14" t="s">
        <v>705</v>
      </c>
      <c r="B438" s="14" t="s">
        <v>786</v>
      </c>
      <c r="C438" s="21">
        <v>12417</v>
      </c>
      <c r="D438" s="22">
        <v>45487</v>
      </c>
    </row>
    <row r="439" spans="1:4" x14ac:dyDescent="0.3">
      <c r="A439" s="14" t="s">
        <v>103</v>
      </c>
      <c r="B439" s="14" t="s">
        <v>812</v>
      </c>
      <c r="C439" s="21">
        <v>15743</v>
      </c>
      <c r="D439" s="22">
        <v>45487</v>
      </c>
    </row>
    <row r="440" spans="1:4" x14ac:dyDescent="0.3">
      <c r="A440" s="14" t="s">
        <v>412</v>
      </c>
      <c r="B440" s="14" t="s">
        <v>787</v>
      </c>
      <c r="C440" s="21">
        <v>14405</v>
      </c>
      <c r="D440" s="22">
        <v>45487</v>
      </c>
    </row>
    <row r="441" spans="1:4" x14ac:dyDescent="0.3">
      <c r="A441" s="14" t="s">
        <v>317</v>
      </c>
      <c r="B441" s="14" t="s">
        <v>785</v>
      </c>
      <c r="C441" s="21">
        <v>8222</v>
      </c>
      <c r="D441" s="22">
        <v>45488</v>
      </c>
    </row>
    <row r="442" spans="1:4" x14ac:dyDescent="0.3">
      <c r="A442" s="14" t="s">
        <v>162</v>
      </c>
      <c r="B442" s="14" t="s">
        <v>812</v>
      </c>
      <c r="C442" s="21">
        <v>14394</v>
      </c>
      <c r="D442" s="22">
        <v>45488</v>
      </c>
    </row>
    <row r="443" spans="1:4" x14ac:dyDescent="0.3">
      <c r="A443" s="14" t="s">
        <v>551</v>
      </c>
      <c r="B443" s="14" t="s">
        <v>786</v>
      </c>
      <c r="C443" s="21">
        <v>16005</v>
      </c>
      <c r="D443" s="22">
        <v>45489</v>
      </c>
    </row>
    <row r="444" spans="1:4" x14ac:dyDescent="0.3">
      <c r="A444" s="14" t="s">
        <v>656</v>
      </c>
      <c r="B444" s="14" t="s">
        <v>783</v>
      </c>
      <c r="C444" s="21">
        <v>6634</v>
      </c>
      <c r="D444" s="22">
        <v>45489</v>
      </c>
    </row>
    <row r="445" spans="1:4" x14ac:dyDescent="0.3">
      <c r="A445" s="14" t="s">
        <v>801</v>
      </c>
      <c r="B445" s="14" t="s">
        <v>784</v>
      </c>
      <c r="C445" s="21">
        <v>13915</v>
      </c>
      <c r="D445" s="22">
        <v>45489</v>
      </c>
    </row>
    <row r="446" spans="1:4" x14ac:dyDescent="0.3">
      <c r="A446" s="14" t="s">
        <v>520</v>
      </c>
      <c r="B446" s="14" t="s">
        <v>784</v>
      </c>
      <c r="C446" s="21">
        <v>15872</v>
      </c>
      <c r="D446" s="22">
        <v>45489</v>
      </c>
    </row>
    <row r="447" spans="1:4" x14ac:dyDescent="0.3">
      <c r="A447" s="14" t="s">
        <v>717</v>
      </c>
      <c r="B447" s="14" t="s">
        <v>786</v>
      </c>
      <c r="C447" s="21">
        <v>16854</v>
      </c>
      <c r="D447" s="22">
        <v>45490</v>
      </c>
    </row>
    <row r="448" spans="1:4" x14ac:dyDescent="0.3">
      <c r="A448" s="14" t="s">
        <v>606</v>
      </c>
      <c r="B448" s="14" t="s">
        <v>783</v>
      </c>
      <c r="C448" s="21">
        <v>12714</v>
      </c>
      <c r="D448" s="22">
        <v>45490</v>
      </c>
    </row>
    <row r="449" spans="1:4" x14ac:dyDescent="0.3">
      <c r="A449" s="14" t="s">
        <v>364</v>
      </c>
      <c r="B449" s="14" t="s">
        <v>783</v>
      </c>
      <c r="C449" s="21">
        <v>6070</v>
      </c>
      <c r="D449" s="22">
        <v>45490</v>
      </c>
    </row>
    <row r="450" spans="1:4" x14ac:dyDescent="0.3">
      <c r="A450" s="14" t="s">
        <v>645</v>
      </c>
      <c r="B450" s="14" t="s">
        <v>783</v>
      </c>
      <c r="C450" s="21">
        <v>16328</v>
      </c>
      <c r="D450" s="22">
        <v>45491</v>
      </c>
    </row>
    <row r="451" spans="1:4" x14ac:dyDescent="0.3">
      <c r="A451" s="14" t="s">
        <v>721</v>
      </c>
      <c r="B451" s="14" t="s">
        <v>784</v>
      </c>
      <c r="C451" s="21">
        <v>12581</v>
      </c>
      <c r="D451" s="22">
        <v>45491</v>
      </c>
    </row>
    <row r="452" spans="1:4" x14ac:dyDescent="0.3">
      <c r="A452" s="14" t="s">
        <v>467</v>
      </c>
      <c r="B452" s="14" t="s">
        <v>784</v>
      </c>
      <c r="C452" s="21">
        <v>8356</v>
      </c>
      <c r="D452" s="22">
        <v>45491</v>
      </c>
    </row>
    <row r="453" spans="1:4" x14ac:dyDescent="0.3">
      <c r="A453" s="14" t="s">
        <v>527</v>
      </c>
      <c r="B453" s="14" t="s">
        <v>783</v>
      </c>
      <c r="C453" s="21">
        <v>15849</v>
      </c>
      <c r="D453" s="22">
        <v>45492</v>
      </c>
    </row>
    <row r="454" spans="1:4" x14ac:dyDescent="0.3">
      <c r="A454" s="23" t="s">
        <v>802</v>
      </c>
      <c r="B454" s="14" t="s">
        <v>787</v>
      </c>
      <c r="C454" s="21">
        <v>11860</v>
      </c>
      <c r="D454" s="22">
        <v>45492</v>
      </c>
    </row>
    <row r="455" spans="1:4" x14ac:dyDescent="0.3">
      <c r="A455" s="14" t="s">
        <v>340</v>
      </c>
      <c r="B455" s="14" t="s">
        <v>784</v>
      </c>
      <c r="C455" s="21">
        <v>8817</v>
      </c>
      <c r="D455" s="22">
        <v>45492</v>
      </c>
    </row>
    <row r="456" spans="1:4" x14ac:dyDescent="0.3">
      <c r="A456" s="14" t="s">
        <v>109</v>
      </c>
      <c r="B456" s="14" t="s">
        <v>785</v>
      </c>
      <c r="C456" s="21">
        <v>6316</v>
      </c>
      <c r="D456" s="22">
        <v>45493</v>
      </c>
    </row>
    <row r="457" spans="1:4" x14ac:dyDescent="0.3">
      <c r="A457" s="14" t="s">
        <v>667</v>
      </c>
      <c r="B457" s="14" t="s">
        <v>785</v>
      </c>
      <c r="C457" s="21">
        <v>8312</v>
      </c>
      <c r="D457" s="22">
        <v>45494</v>
      </c>
    </row>
    <row r="458" spans="1:4" x14ac:dyDescent="0.3">
      <c r="A458" s="14" t="s">
        <v>292</v>
      </c>
      <c r="B458" s="14" t="s">
        <v>812</v>
      </c>
      <c r="C458" s="21">
        <v>16533</v>
      </c>
      <c r="D458" s="22">
        <v>45494</v>
      </c>
    </row>
    <row r="459" spans="1:4" x14ac:dyDescent="0.3">
      <c r="A459" s="14" t="s">
        <v>113</v>
      </c>
      <c r="B459" s="14" t="s">
        <v>787</v>
      </c>
      <c r="C459" s="21">
        <v>7740</v>
      </c>
      <c r="D459" s="22">
        <v>45494</v>
      </c>
    </row>
    <row r="460" spans="1:4" x14ac:dyDescent="0.3">
      <c r="A460" s="14" t="s">
        <v>268</v>
      </c>
      <c r="B460" s="14" t="s">
        <v>786</v>
      </c>
      <c r="C460" s="21">
        <v>16035</v>
      </c>
      <c r="D460" s="22">
        <v>45495</v>
      </c>
    </row>
    <row r="461" spans="1:4" x14ac:dyDescent="0.3">
      <c r="A461" s="23" t="s">
        <v>803</v>
      </c>
      <c r="B461" s="14" t="s">
        <v>786</v>
      </c>
      <c r="C461" s="21">
        <v>6730</v>
      </c>
      <c r="D461" s="22">
        <v>45495</v>
      </c>
    </row>
    <row r="462" spans="1:4" x14ac:dyDescent="0.3">
      <c r="A462" s="14" t="s">
        <v>15</v>
      </c>
      <c r="B462" s="14" t="s">
        <v>786</v>
      </c>
      <c r="C462" s="21">
        <v>11461</v>
      </c>
      <c r="D462" s="22">
        <v>45495</v>
      </c>
    </row>
    <row r="463" spans="1:4" x14ac:dyDescent="0.3">
      <c r="A463" s="14" t="s">
        <v>701</v>
      </c>
      <c r="B463" s="14" t="s">
        <v>784</v>
      </c>
      <c r="C463" s="21">
        <v>16926</v>
      </c>
      <c r="D463" s="22">
        <v>45495</v>
      </c>
    </row>
    <row r="464" spans="1:4" x14ac:dyDescent="0.3">
      <c r="A464" s="14" t="s">
        <v>97</v>
      </c>
      <c r="B464" s="14" t="s">
        <v>812</v>
      </c>
      <c r="C464" s="21">
        <v>11555</v>
      </c>
      <c r="D464" s="22">
        <v>45496</v>
      </c>
    </row>
    <row r="465" spans="1:4" x14ac:dyDescent="0.3">
      <c r="A465" s="14" t="s">
        <v>512</v>
      </c>
      <c r="B465" s="14" t="s">
        <v>787</v>
      </c>
      <c r="C465" s="21">
        <v>5254</v>
      </c>
      <c r="D465" s="22">
        <v>45496</v>
      </c>
    </row>
    <row r="466" spans="1:4" x14ac:dyDescent="0.3">
      <c r="A466" s="14" t="s">
        <v>563</v>
      </c>
      <c r="B466" s="14" t="s">
        <v>787</v>
      </c>
      <c r="C466" s="21">
        <v>13290</v>
      </c>
      <c r="D466" s="22">
        <v>45496</v>
      </c>
    </row>
    <row r="467" spans="1:4" x14ac:dyDescent="0.3">
      <c r="A467" s="14" t="s">
        <v>182</v>
      </c>
      <c r="B467" s="14" t="s">
        <v>784</v>
      </c>
      <c r="C467" s="21">
        <v>6241</v>
      </c>
      <c r="D467" s="22">
        <v>45496</v>
      </c>
    </row>
    <row r="468" spans="1:4" x14ac:dyDescent="0.3">
      <c r="A468" s="14" t="s">
        <v>240</v>
      </c>
      <c r="B468" s="14" t="s">
        <v>785</v>
      </c>
      <c r="C468" s="21">
        <v>10277</v>
      </c>
      <c r="D468" s="22">
        <v>45498</v>
      </c>
    </row>
    <row r="469" spans="1:4" x14ac:dyDescent="0.3">
      <c r="A469" s="14" t="s">
        <v>176</v>
      </c>
      <c r="B469" s="14" t="s">
        <v>785</v>
      </c>
      <c r="C469" s="21">
        <v>13158</v>
      </c>
      <c r="D469" s="22">
        <v>45498</v>
      </c>
    </row>
    <row r="470" spans="1:4" x14ac:dyDescent="0.3">
      <c r="A470" s="14" t="s">
        <v>461</v>
      </c>
      <c r="B470" s="14" t="s">
        <v>786</v>
      </c>
      <c r="C470" s="21">
        <v>13028</v>
      </c>
      <c r="D470" s="22">
        <v>45498</v>
      </c>
    </row>
    <row r="471" spans="1:4" x14ac:dyDescent="0.3">
      <c r="A471" s="14" t="s">
        <v>83</v>
      </c>
      <c r="B471" s="14" t="s">
        <v>786</v>
      </c>
      <c r="C471" s="21">
        <v>6581</v>
      </c>
      <c r="D471" s="22">
        <v>45498</v>
      </c>
    </row>
    <row r="472" spans="1:4" x14ac:dyDescent="0.3">
      <c r="A472" s="14" t="s">
        <v>681</v>
      </c>
      <c r="B472" s="14" t="s">
        <v>787</v>
      </c>
      <c r="C472" s="21">
        <v>15330</v>
      </c>
      <c r="D472" s="22">
        <v>45498</v>
      </c>
    </row>
    <row r="473" spans="1:4" x14ac:dyDescent="0.3">
      <c r="A473" s="14" t="s">
        <v>392</v>
      </c>
      <c r="B473" s="14" t="s">
        <v>787</v>
      </c>
      <c r="C473" s="21">
        <v>8506</v>
      </c>
      <c r="D473" s="22">
        <v>45498</v>
      </c>
    </row>
    <row r="474" spans="1:4" x14ac:dyDescent="0.3">
      <c r="A474" s="14" t="s">
        <v>404</v>
      </c>
      <c r="B474" s="14" t="s">
        <v>787</v>
      </c>
      <c r="C474" s="21">
        <v>5779</v>
      </c>
      <c r="D474" s="22">
        <v>45498</v>
      </c>
    </row>
    <row r="475" spans="1:4" x14ac:dyDescent="0.3">
      <c r="A475" s="14" t="s">
        <v>201</v>
      </c>
      <c r="B475" s="14" t="s">
        <v>785</v>
      </c>
      <c r="C475" s="21">
        <v>6304</v>
      </c>
      <c r="D475" s="22">
        <v>45499</v>
      </c>
    </row>
    <row r="476" spans="1:4" x14ac:dyDescent="0.3">
      <c r="A476" s="14" t="s">
        <v>473</v>
      </c>
      <c r="B476" s="14" t="s">
        <v>783</v>
      </c>
      <c r="C476" s="21">
        <v>15735</v>
      </c>
      <c r="D476" s="22">
        <v>45500</v>
      </c>
    </row>
    <row r="477" spans="1:4" x14ac:dyDescent="0.3">
      <c r="A477" s="14" t="s">
        <v>704</v>
      </c>
      <c r="B477" s="14" t="s">
        <v>787</v>
      </c>
      <c r="C477" s="21">
        <v>15698</v>
      </c>
      <c r="D477" s="22">
        <v>45501</v>
      </c>
    </row>
    <row r="478" spans="1:4" x14ac:dyDescent="0.3">
      <c r="A478" s="14" t="s">
        <v>76</v>
      </c>
      <c r="B478" s="14" t="s">
        <v>787</v>
      </c>
      <c r="C478" s="21">
        <v>7881</v>
      </c>
      <c r="D478" s="22">
        <v>45501</v>
      </c>
    </row>
    <row r="479" spans="1:4" x14ac:dyDescent="0.3">
      <c r="A479" s="14" t="s">
        <v>804</v>
      </c>
      <c r="B479" s="14" t="s">
        <v>784</v>
      </c>
      <c r="C479" s="21">
        <v>11676</v>
      </c>
      <c r="D479" s="22">
        <v>45501</v>
      </c>
    </row>
    <row r="480" spans="1:4" x14ac:dyDescent="0.3">
      <c r="A480" s="14" t="s">
        <v>640</v>
      </c>
      <c r="B480" s="14" t="s">
        <v>785</v>
      </c>
      <c r="C480" s="21">
        <v>8498</v>
      </c>
      <c r="D480" s="22">
        <v>45502</v>
      </c>
    </row>
    <row r="481" spans="1:4" x14ac:dyDescent="0.3">
      <c r="A481" s="14" t="s">
        <v>451</v>
      </c>
      <c r="B481" s="14" t="s">
        <v>812</v>
      </c>
      <c r="C481" s="21">
        <v>10828</v>
      </c>
      <c r="D481" s="22">
        <v>45502</v>
      </c>
    </row>
    <row r="482" spans="1:4" x14ac:dyDescent="0.3">
      <c r="A482" s="14" t="s">
        <v>40</v>
      </c>
      <c r="B482" s="14" t="s">
        <v>812</v>
      </c>
      <c r="C482" s="21">
        <v>12859</v>
      </c>
      <c r="D482" s="22">
        <v>45502</v>
      </c>
    </row>
    <row r="483" spans="1:4" x14ac:dyDescent="0.3">
      <c r="A483" s="14" t="s">
        <v>264</v>
      </c>
      <c r="B483" s="14" t="s">
        <v>784</v>
      </c>
      <c r="C483" s="21">
        <v>15365</v>
      </c>
      <c r="D483" s="22">
        <v>45502</v>
      </c>
    </row>
    <row r="484" spans="1:4" x14ac:dyDescent="0.3">
      <c r="A484" s="14" t="s">
        <v>307</v>
      </c>
      <c r="B484" s="14" t="s">
        <v>786</v>
      </c>
      <c r="C484" s="21">
        <v>7776</v>
      </c>
      <c r="D484" s="22">
        <v>45503</v>
      </c>
    </row>
    <row r="485" spans="1:4" x14ac:dyDescent="0.3">
      <c r="A485" s="14" t="s">
        <v>324</v>
      </c>
      <c r="B485" s="14" t="s">
        <v>786</v>
      </c>
      <c r="C485" s="21">
        <v>13620</v>
      </c>
      <c r="D485" s="22">
        <v>45504</v>
      </c>
    </row>
    <row r="486" spans="1:4" x14ac:dyDescent="0.3">
      <c r="A486" s="14" t="s">
        <v>697</v>
      </c>
      <c r="B486" s="14" t="s">
        <v>787</v>
      </c>
      <c r="C486" s="21">
        <v>5525</v>
      </c>
      <c r="D486" s="22">
        <v>45504</v>
      </c>
    </row>
    <row r="487" spans="1:4" x14ac:dyDescent="0.3">
      <c r="A487" s="14" t="s">
        <v>728</v>
      </c>
      <c r="B487" s="14" t="s">
        <v>785</v>
      </c>
      <c r="C487" s="21">
        <v>10198</v>
      </c>
      <c r="D487" s="22">
        <v>45505</v>
      </c>
    </row>
    <row r="488" spans="1:4" x14ac:dyDescent="0.3">
      <c r="A488" s="23" t="s">
        <v>805</v>
      </c>
      <c r="B488" s="14" t="s">
        <v>785</v>
      </c>
      <c r="C488" s="21">
        <v>5542</v>
      </c>
      <c r="D488" s="22">
        <v>45506</v>
      </c>
    </row>
    <row r="489" spans="1:4" x14ac:dyDescent="0.3">
      <c r="A489" s="14" t="s">
        <v>386</v>
      </c>
      <c r="B489" s="14" t="s">
        <v>787</v>
      </c>
      <c r="C489" s="21">
        <v>16607</v>
      </c>
      <c r="D489" s="22">
        <v>45506</v>
      </c>
    </row>
    <row r="490" spans="1:4" x14ac:dyDescent="0.3">
      <c r="A490" s="14" t="s">
        <v>434</v>
      </c>
      <c r="B490" s="14" t="s">
        <v>783</v>
      </c>
      <c r="C490" s="21">
        <v>12800</v>
      </c>
      <c r="D490" s="22">
        <v>45507</v>
      </c>
    </row>
    <row r="491" spans="1:4" x14ac:dyDescent="0.3">
      <c r="A491" s="14" t="s">
        <v>245</v>
      </c>
      <c r="B491" s="14" t="s">
        <v>785</v>
      </c>
      <c r="C491" s="21">
        <v>12146</v>
      </c>
      <c r="D491" s="22">
        <v>45508</v>
      </c>
    </row>
    <row r="492" spans="1:4" x14ac:dyDescent="0.3">
      <c r="A492" s="14" t="s">
        <v>594</v>
      </c>
      <c r="B492" s="14" t="s">
        <v>812</v>
      </c>
      <c r="C492" s="21">
        <v>11089</v>
      </c>
      <c r="D492" s="22">
        <v>45508</v>
      </c>
    </row>
    <row r="493" spans="1:4" x14ac:dyDescent="0.3">
      <c r="A493" s="14" t="s">
        <v>774</v>
      </c>
      <c r="B493" s="14" t="s">
        <v>783</v>
      </c>
      <c r="C493" s="21">
        <v>16196</v>
      </c>
      <c r="D493" s="22">
        <v>45508</v>
      </c>
    </row>
    <row r="494" spans="1:4" x14ac:dyDescent="0.3">
      <c r="A494" s="14" t="s">
        <v>407</v>
      </c>
      <c r="B494" s="14" t="s">
        <v>785</v>
      </c>
      <c r="C494" s="21">
        <v>12139</v>
      </c>
      <c r="D494" s="22">
        <v>45509</v>
      </c>
    </row>
    <row r="495" spans="1:4" x14ac:dyDescent="0.3">
      <c r="A495" s="14" t="s">
        <v>566</v>
      </c>
      <c r="B495" s="14" t="s">
        <v>783</v>
      </c>
      <c r="C495" s="21">
        <v>7279</v>
      </c>
      <c r="D495" s="22">
        <v>45510</v>
      </c>
    </row>
    <row r="496" spans="1:4" x14ac:dyDescent="0.3">
      <c r="A496" s="14" t="s">
        <v>422</v>
      </c>
      <c r="B496" s="14" t="s">
        <v>787</v>
      </c>
      <c r="C496" s="21">
        <v>8959</v>
      </c>
      <c r="D496" s="22">
        <v>45510</v>
      </c>
    </row>
    <row r="497" spans="1:4" x14ac:dyDescent="0.3">
      <c r="A497" s="14" t="s">
        <v>400</v>
      </c>
      <c r="B497" s="14" t="s">
        <v>784</v>
      </c>
      <c r="C497" s="21">
        <v>5293</v>
      </c>
      <c r="D497" s="22">
        <v>45510</v>
      </c>
    </row>
    <row r="498" spans="1:4" x14ac:dyDescent="0.3">
      <c r="A498" s="14" t="s">
        <v>593</v>
      </c>
      <c r="B498" s="14" t="s">
        <v>783</v>
      </c>
      <c r="C498" s="21">
        <v>12683</v>
      </c>
      <c r="D498" s="22">
        <v>45511</v>
      </c>
    </row>
    <row r="499" spans="1:4" x14ac:dyDescent="0.3">
      <c r="A499" s="14" t="s">
        <v>291</v>
      </c>
      <c r="B499" s="14" t="s">
        <v>783</v>
      </c>
      <c r="C499" s="21">
        <v>12185</v>
      </c>
      <c r="D499" s="22">
        <v>45511</v>
      </c>
    </row>
    <row r="500" spans="1:4" x14ac:dyDescent="0.3">
      <c r="A500" s="14" t="s">
        <v>13</v>
      </c>
      <c r="B500" s="14" t="s">
        <v>787</v>
      </c>
      <c r="C500" s="21">
        <v>12308</v>
      </c>
      <c r="D500" s="22">
        <v>45511</v>
      </c>
    </row>
    <row r="501" spans="1:4" x14ac:dyDescent="0.3">
      <c r="A501" s="14" t="s">
        <v>584</v>
      </c>
      <c r="B501" s="14" t="s">
        <v>783</v>
      </c>
      <c r="C501" s="21">
        <v>15867</v>
      </c>
      <c r="D501" s="22">
        <v>45512</v>
      </c>
    </row>
    <row r="502" spans="1:4" x14ac:dyDescent="0.3">
      <c r="A502" s="14" t="s">
        <v>261</v>
      </c>
      <c r="B502" s="14" t="s">
        <v>783</v>
      </c>
      <c r="C502" s="21">
        <v>10170</v>
      </c>
      <c r="D502" s="22">
        <v>45513</v>
      </c>
    </row>
    <row r="503" spans="1:4" x14ac:dyDescent="0.3">
      <c r="A503" s="14" t="s">
        <v>249</v>
      </c>
      <c r="B503" s="14" t="s">
        <v>787</v>
      </c>
      <c r="C503" s="21">
        <v>14303</v>
      </c>
      <c r="D503" s="22">
        <v>45513</v>
      </c>
    </row>
    <row r="504" spans="1:4" x14ac:dyDescent="0.3">
      <c r="A504" s="14" t="s">
        <v>736</v>
      </c>
      <c r="B504" s="14" t="s">
        <v>786</v>
      </c>
      <c r="C504" s="21">
        <v>6827</v>
      </c>
      <c r="D504" s="22">
        <v>45514</v>
      </c>
    </row>
    <row r="505" spans="1:4" x14ac:dyDescent="0.3">
      <c r="A505" s="14" t="s">
        <v>503</v>
      </c>
      <c r="B505" s="14" t="s">
        <v>784</v>
      </c>
      <c r="C505" s="21">
        <v>11307</v>
      </c>
      <c r="D505" s="22">
        <v>45514</v>
      </c>
    </row>
    <row r="506" spans="1:4" x14ac:dyDescent="0.3">
      <c r="A506" s="14" t="s">
        <v>481</v>
      </c>
      <c r="B506" s="14" t="s">
        <v>785</v>
      </c>
      <c r="C506" s="21">
        <v>13479</v>
      </c>
      <c r="D506" s="22">
        <v>45516</v>
      </c>
    </row>
    <row r="507" spans="1:4" x14ac:dyDescent="0.3">
      <c r="A507" s="14" t="s">
        <v>155</v>
      </c>
      <c r="B507" s="14" t="s">
        <v>785</v>
      </c>
      <c r="C507" s="21">
        <v>5813</v>
      </c>
      <c r="D507" s="22">
        <v>45516</v>
      </c>
    </row>
    <row r="508" spans="1:4" x14ac:dyDescent="0.3">
      <c r="A508" s="14" t="s">
        <v>775</v>
      </c>
      <c r="B508" s="14" t="s">
        <v>787</v>
      </c>
      <c r="C508" s="21">
        <v>15767</v>
      </c>
      <c r="D508" s="22">
        <v>45516</v>
      </c>
    </row>
    <row r="509" spans="1:4" x14ac:dyDescent="0.3">
      <c r="A509" s="14" t="s">
        <v>9</v>
      </c>
      <c r="B509" s="14" t="s">
        <v>783</v>
      </c>
      <c r="C509" s="21">
        <v>12291</v>
      </c>
      <c r="D509" s="22">
        <v>45517</v>
      </c>
    </row>
    <row r="510" spans="1:4" x14ac:dyDescent="0.3">
      <c r="A510" s="14" t="s">
        <v>72</v>
      </c>
      <c r="B510" s="14" t="s">
        <v>787</v>
      </c>
      <c r="C510" s="21">
        <v>8165</v>
      </c>
      <c r="D510" s="22">
        <v>45518</v>
      </c>
    </row>
    <row r="511" spans="1:4" x14ac:dyDescent="0.3">
      <c r="A511" s="14" t="s">
        <v>582</v>
      </c>
      <c r="B511" s="14" t="s">
        <v>783</v>
      </c>
      <c r="C511" s="21">
        <v>14908</v>
      </c>
      <c r="D511" s="22">
        <v>45519</v>
      </c>
    </row>
    <row r="512" spans="1:4" x14ac:dyDescent="0.3">
      <c r="A512" s="14" t="s">
        <v>37</v>
      </c>
      <c r="B512" s="14" t="s">
        <v>787</v>
      </c>
      <c r="C512" s="21">
        <v>11979</v>
      </c>
      <c r="D512" s="22">
        <v>45519</v>
      </c>
    </row>
    <row r="513" spans="1:4" x14ac:dyDescent="0.3">
      <c r="A513" s="14" t="s">
        <v>651</v>
      </c>
      <c r="B513" s="14" t="s">
        <v>784</v>
      </c>
      <c r="C513" s="21">
        <v>14503</v>
      </c>
      <c r="D513" s="22">
        <v>45519</v>
      </c>
    </row>
    <row r="514" spans="1:4" x14ac:dyDescent="0.3">
      <c r="A514" s="14" t="s">
        <v>138</v>
      </c>
      <c r="B514" s="14" t="s">
        <v>783</v>
      </c>
      <c r="C514" s="21">
        <v>13073</v>
      </c>
      <c r="D514" s="22">
        <v>45520</v>
      </c>
    </row>
    <row r="515" spans="1:4" x14ac:dyDescent="0.3">
      <c r="A515" s="14" t="s">
        <v>215</v>
      </c>
      <c r="B515" s="14" t="s">
        <v>785</v>
      </c>
      <c r="C515" s="21">
        <v>6895</v>
      </c>
      <c r="D515" s="22">
        <v>45521</v>
      </c>
    </row>
    <row r="516" spans="1:4" x14ac:dyDescent="0.3">
      <c r="A516" s="14" t="s">
        <v>650</v>
      </c>
      <c r="B516" s="14" t="s">
        <v>785</v>
      </c>
      <c r="C516" s="21">
        <v>15732</v>
      </c>
      <c r="D516" s="22">
        <v>45521</v>
      </c>
    </row>
    <row r="517" spans="1:4" x14ac:dyDescent="0.3">
      <c r="A517" s="14" t="s">
        <v>628</v>
      </c>
      <c r="B517" s="14" t="s">
        <v>785</v>
      </c>
      <c r="C517" s="21">
        <v>14092</v>
      </c>
      <c r="D517" s="22">
        <v>45521</v>
      </c>
    </row>
    <row r="518" spans="1:4" x14ac:dyDescent="0.3">
      <c r="A518" s="14" t="s">
        <v>79</v>
      </c>
      <c r="B518" s="14" t="s">
        <v>787</v>
      </c>
      <c r="C518" s="21">
        <v>7737</v>
      </c>
      <c r="D518" s="22">
        <v>45521</v>
      </c>
    </row>
    <row r="519" spans="1:4" x14ac:dyDescent="0.3">
      <c r="A519" s="14" t="s">
        <v>596</v>
      </c>
      <c r="B519" s="14" t="s">
        <v>787</v>
      </c>
      <c r="C519" s="21">
        <v>12690</v>
      </c>
      <c r="D519" s="22">
        <v>45522</v>
      </c>
    </row>
    <row r="520" spans="1:4" x14ac:dyDescent="0.3">
      <c r="A520" s="14" t="s">
        <v>93</v>
      </c>
      <c r="B520" s="14" t="s">
        <v>784</v>
      </c>
      <c r="C520" s="21">
        <v>16048</v>
      </c>
      <c r="D520" s="22">
        <v>45522</v>
      </c>
    </row>
    <row r="521" spans="1:4" x14ac:dyDescent="0.3">
      <c r="A521" s="14" t="s">
        <v>98</v>
      </c>
      <c r="B521" s="14" t="s">
        <v>785</v>
      </c>
      <c r="C521" s="21">
        <v>15396</v>
      </c>
      <c r="D521" s="22">
        <v>45523</v>
      </c>
    </row>
    <row r="522" spans="1:4" x14ac:dyDescent="0.3">
      <c r="A522" s="14" t="s">
        <v>124</v>
      </c>
      <c r="B522" s="14" t="s">
        <v>784</v>
      </c>
      <c r="C522" s="21">
        <v>12786</v>
      </c>
      <c r="D522" s="22">
        <v>45523</v>
      </c>
    </row>
    <row r="523" spans="1:4" x14ac:dyDescent="0.3">
      <c r="A523" s="14" t="s">
        <v>54</v>
      </c>
      <c r="B523" s="14" t="s">
        <v>785</v>
      </c>
      <c r="C523" s="21">
        <v>10221</v>
      </c>
      <c r="D523" s="22">
        <v>45524</v>
      </c>
    </row>
    <row r="524" spans="1:4" x14ac:dyDescent="0.3">
      <c r="A524" s="14" t="s">
        <v>64</v>
      </c>
      <c r="B524" s="14" t="s">
        <v>785</v>
      </c>
      <c r="C524" s="21">
        <v>16968</v>
      </c>
      <c r="D524" s="22">
        <v>45524</v>
      </c>
    </row>
    <row r="525" spans="1:4" x14ac:dyDescent="0.3">
      <c r="A525" s="14" t="s">
        <v>115</v>
      </c>
      <c r="B525" s="14" t="s">
        <v>785</v>
      </c>
      <c r="C525" s="21">
        <v>12489</v>
      </c>
      <c r="D525" s="22">
        <v>45524</v>
      </c>
    </row>
    <row r="526" spans="1:4" x14ac:dyDescent="0.3">
      <c r="A526" s="14" t="s">
        <v>376</v>
      </c>
      <c r="B526" s="14" t="s">
        <v>787</v>
      </c>
      <c r="C526" s="21">
        <v>11708</v>
      </c>
      <c r="D526" s="22">
        <v>45524</v>
      </c>
    </row>
    <row r="527" spans="1:4" x14ac:dyDescent="0.3">
      <c r="A527" s="14" t="s">
        <v>226</v>
      </c>
      <c r="B527" s="14" t="s">
        <v>785</v>
      </c>
      <c r="C527" s="21">
        <v>11281</v>
      </c>
      <c r="D527" s="22">
        <v>45525</v>
      </c>
    </row>
    <row r="528" spans="1:4" x14ac:dyDescent="0.3">
      <c r="A528" s="14" t="s">
        <v>263</v>
      </c>
      <c r="B528" s="14" t="s">
        <v>783</v>
      </c>
      <c r="C528" s="21">
        <v>13665</v>
      </c>
      <c r="D528" s="22">
        <v>45525</v>
      </c>
    </row>
    <row r="529" spans="1:4" x14ac:dyDescent="0.3">
      <c r="A529" s="14" t="s">
        <v>670</v>
      </c>
      <c r="B529" s="14" t="s">
        <v>784</v>
      </c>
      <c r="C529" s="21">
        <v>13959</v>
      </c>
      <c r="D529" s="22">
        <v>45525</v>
      </c>
    </row>
    <row r="530" spans="1:4" x14ac:dyDescent="0.3">
      <c r="A530" s="14" t="s">
        <v>663</v>
      </c>
      <c r="B530" s="14" t="s">
        <v>786</v>
      </c>
      <c r="C530" s="21">
        <v>15367</v>
      </c>
      <c r="D530" s="22">
        <v>45526</v>
      </c>
    </row>
    <row r="531" spans="1:4" x14ac:dyDescent="0.3">
      <c r="A531" s="14" t="s">
        <v>725</v>
      </c>
      <c r="B531" s="14" t="s">
        <v>784</v>
      </c>
      <c r="C531" s="21">
        <v>13835</v>
      </c>
      <c r="D531" s="22">
        <v>45527</v>
      </c>
    </row>
    <row r="532" spans="1:4" x14ac:dyDescent="0.3">
      <c r="A532" s="14" t="s">
        <v>698</v>
      </c>
      <c r="B532" s="14" t="s">
        <v>785</v>
      </c>
      <c r="C532" s="21">
        <v>7689</v>
      </c>
      <c r="D532" s="22">
        <v>45528</v>
      </c>
    </row>
    <row r="533" spans="1:4" x14ac:dyDescent="0.3">
      <c r="A533" s="14" t="s">
        <v>78</v>
      </c>
      <c r="B533" s="14" t="s">
        <v>786</v>
      </c>
      <c r="C533" s="21">
        <v>6986</v>
      </c>
      <c r="D533" s="22">
        <v>45528</v>
      </c>
    </row>
    <row r="534" spans="1:4" x14ac:dyDescent="0.3">
      <c r="A534" s="14" t="s">
        <v>341</v>
      </c>
      <c r="B534" s="14" t="s">
        <v>787</v>
      </c>
      <c r="C534" s="21">
        <v>12049</v>
      </c>
      <c r="D534" s="22">
        <v>45528</v>
      </c>
    </row>
    <row r="535" spans="1:4" x14ac:dyDescent="0.3">
      <c r="A535" s="14" t="s">
        <v>209</v>
      </c>
      <c r="B535" s="14" t="s">
        <v>784</v>
      </c>
      <c r="C535" s="21">
        <v>9423</v>
      </c>
      <c r="D535" s="22">
        <v>45528</v>
      </c>
    </row>
    <row r="536" spans="1:4" x14ac:dyDescent="0.3">
      <c r="A536" s="14" t="s">
        <v>641</v>
      </c>
      <c r="B536" s="14" t="s">
        <v>812</v>
      </c>
      <c r="C536" s="21">
        <v>14979</v>
      </c>
      <c r="D536" s="22">
        <v>45530</v>
      </c>
    </row>
    <row r="537" spans="1:4" x14ac:dyDescent="0.3">
      <c r="A537" s="14" t="s">
        <v>390</v>
      </c>
      <c r="B537" s="14" t="s">
        <v>785</v>
      </c>
      <c r="C537" s="21">
        <v>10457</v>
      </c>
      <c r="D537" s="22">
        <v>45531</v>
      </c>
    </row>
    <row r="538" spans="1:4" x14ac:dyDescent="0.3">
      <c r="A538" s="14" t="s">
        <v>680</v>
      </c>
      <c r="B538" s="14" t="s">
        <v>786</v>
      </c>
      <c r="C538" s="21">
        <v>9517</v>
      </c>
      <c r="D538" s="22">
        <v>45531</v>
      </c>
    </row>
    <row r="539" spans="1:4" x14ac:dyDescent="0.3">
      <c r="A539" s="14" t="s">
        <v>51</v>
      </c>
      <c r="B539" s="14" t="s">
        <v>784</v>
      </c>
      <c r="C539" s="21">
        <v>11897</v>
      </c>
      <c r="D539" s="22">
        <v>45531</v>
      </c>
    </row>
    <row r="540" spans="1:4" x14ac:dyDescent="0.3">
      <c r="A540" s="14" t="s">
        <v>163</v>
      </c>
      <c r="B540" s="14" t="s">
        <v>784</v>
      </c>
      <c r="C540" s="21">
        <v>11811</v>
      </c>
      <c r="D540" s="22">
        <v>45532</v>
      </c>
    </row>
    <row r="541" spans="1:4" x14ac:dyDescent="0.3">
      <c r="A541" s="14" t="s">
        <v>703</v>
      </c>
      <c r="B541" s="14" t="s">
        <v>785</v>
      </c>
      <c r="C541" s="21">
        <v>7167</v>
      </c>
      <c r="D541" s="22">
        <v>45533</v>
      </c>
    </row>
    <row r="542" spans="1:4" x14ac:dyDescent="0.3">
      <c r="A542" s="14" t="s">
        <v>706</v>
      </c>
      <c r="B542" s="14" t="s">
        <v>785</v>
      </c>
      <c r="C542" s="21">
        <v>5317</v>
      </c>
      <c r="D542" s="22">
        <v>45534</v>
      </c>
    </row>
    <row r="543" spans="1:4" x14ac:dyDescent="0.3">
      <c r="A543" s="14" t="s">
        <v>276</v>
      </c>
      <c r="B543" s="14" t="s">
        <v>786</v>
      </c>
      <c r="C543" s="21">
        <v>10503</v>
      </c>
      <c r="D543" s="22">
        <v>45534</v>
      </c>
    </row>
    <row r="544" spans="1:4" x14ac:dyDescent="0.3">
      <c r="A544" s="14" t="s">
        <v>213</v>
      </c>
      <c r="B544" s="14" t="s">
        <v>787</v>
      </c>
      <c r="C544" s="21">
        <v>11600</v>
      </c>
      <c r="D544" s="22">
        <v>45534</v>
      </c>
    </row>
    <row r="545" spans="1:4" x14ac:dyDescent="0.3">
      <c r="A545" s="14" t="s">
        <v>210</v>
      </c>
      <c r="B545" s="14" t="s">
        <v>784</v>
      </c>
      <c r="C545" s="21">
        <v>13882</v>
      </c>
      <c r="D545" s="22">
        <v>45534</v>
      </c>
    </row>
    <row r="546" spans="1:4" x14ac:dyDescent="0.3">
      <c r="A546" s="14" t="s">
        <v>675</v>
      </c>
      <c r="B546" s="14" t="s">
        <v>784</v>
      </c>
      <c r="C546" s="21">
        <v>14072</v>
      </c>
      <c r="D546" s="22">
        <v>45534</v>
      </c>
    </row>
    <row r="547" spans="1:4" x14ac:dyDescent="0.3">
      <c r="A547" s="14" t="s">
        <v>349</v>
      </c>
      <c r="B547" s="14" t="s">
        <v>812</v>
      </c>
      <c r="C547" s="21">
        <v>10266</v>
      </c>
      <c r="D547" s="22">
        <v>45535</v>
      </c>
    </row>
    <row r="548" spans="1:4" x14ac:dyDescent="0.3">
      <c r="A548" s="14" t="s">
        <v>17</v>
      </c>
      <c r="B548" s="14" t="s">
        <v>787</v>
      </c>
      <c r="C548" s="21">
        <v>16942</v>
      </c>
      <c r="D548" s="22">
        <v>45535</v>
      </c>
    </row>
    <row r="549" spans="1:4" x14ac:dyDescent="0.3">
      <c r="A549" s="14" t="s">
        <v>662</v>
      </c>
      <c r="B549" s="14" t="s">
        <v>787</v>
      </c>
      <c r="C549" s="21">
        <v>15414</v>
      </c>
      <c r="D549" s="22">
        <v>45535</v>
      </c>
    </row>
    <row r="550" spans="1:4" x14ac:dyDescent="0.3">
      <c r="A550" s="14" t="s">
        <v>260</v>
      </c>
      <c r="B550" s="14" t="s">
        <v>787</v>
      </c>
      <c r="C550" s="21">
        <v>16097</v>
      </c>
      <c r="D550" s="22">
        <v>45536</v>
      </c>
    </row>
    <row r="551" spans="1:4" x14ac:dyDescent="0.3">
      <c r="A551" s="14" t="s">
        <v>513</v>
      </c>
      <c r="B551" s="14" t="s">
        <v>787</v>
      </c>
      <c r="C551" s="21">
        <v>11663</v>
      </c>
      <c r="D551" s="22">
        <v>45536</v>
      </c>
    </row>
    <row r="552" spans="1:4" x14ac:dyDescent="0.3">
      <c r="A552" s="14" t="s">
        <v>672</v>
      </c>
      <c r="B552" s="14" t="s">
        <v>785</v>
      </c>
      <c r="C552" s="21">
        <v>6122</v>
      </c>
      <c r="D552" s="22">
        <v>45537</v>
      </c>
    </row>
    <row r="553" spans="1:4" x14ac:dyDescent="0.3">
      <c r="A553" s="14" t="s">
        <v>397</v>
      </c>
      <c r="B553" s="14" t="s">
        <v>783</v>
      </c>
      <c r="C553" s="21">
        <v>11031</v>
      </c>
      <c r="D553" s="22">
        <v>45537</v>
      </c>
    </row>
    <row r="554" spans="1:4" x14ac:dyDescent="0.3">
      <c r="A554" s="14" t="s">
        <v>26</v>
      </c>
      <c r="B554" s="14" t="s">
        <v>785</v>
      </c>
      <c r="C554" s="21">
        <v>10314</v>
      </c>
      <c r="D554" s="22">
        <v>45538</v>
      </c>
    </row>
    <row r="555" spans="1:4" x14ac:dyDescent="0.3">
      <c r="A555" s="14" t="s">
        <v>289</v>
      </c>
      <c r="B555" s="14" t="s">
        <v>787</v>
      </c>
      <c r="C555" s="21">
        <v>12630</v>
      </c>
      <c r="D555" s="22">
        <v>45538</v>
      </c>
    </row>
    <row r="556" spans="1:4" x14ac:dyDescent="0.3">
      <c r="A556" s="14" t="s">
        <v>166</v>
      </c>
      <c r="B556" s="14" t="s">
        <v>784</v>
      </c>
      <c r="C556" s="21">
        <v>13129</v>
      </c>
      <c r="D556" s="22">
        <v>45538</v>
      </c>
    </row>
    <row r="557" spans="1:4" x14ac:dyDescent="0.3">
      <c r="A557" s="14" t="s">
        <v>560</v>
      </c>
      <c r="B557" s="14" t="s">
        <v>785</v>
      </c>
      <c r="C557" s="21">
        <v>11227</v>
      </c>
      <c r="D557" s="22">
        <v>45539</v>
      </c>
    </row>
    <row r="558" spans="1:4" x14ac:dyDescent="0.3">
      <c r="A558" s="14" t="s">
        <v>147</v>
      </c>
      <c r="B558" s="14" t="s">
        <v>785</v>
      </c>
      <c r="C558" s="21">
        <v>8940</v>
      </c>
      <c r="D558" s="22">
        <v>45540</v>
      </c>
    </row>
    <row r="559" spans="1:4" x14ac:dyDescent="0.3">
      <c r="A559" s="14" t="s">
        <v>62</v>
      </c>
      <c r="B559" s="14" t="s">
        <v>783</v>
      </c>
      <c r="C559" s="21">
        <v>8228</v>
      </c>
      <c r="D559" s="22">
        <v>45540</v>
      </c>
    </row>
    <row r="560" spans="1:4" x14ac:dyDescent="0.3">
      <c r="A560" s="14" t="s">
        <v>440</v>
      </c>
      <c r="B560" s="14" t="s">
        <v>786</v>
      </c>
      <c r="C560" s="21">
        <v>16065</v>
      </c>
      <c r="D560" s="22">
        <v>45541</v>
      </c>
    </row>
    <row r="561" spans="1:4" x14ac:dyDescent="0.3">
      <c r="A561" s="14" t="s">
        <v>71</v>
      </c>
      <c r="B561" s="14" t="s">
        <v>783</v>
      </c>
      <c r="C561" s="21">
        <v>14737</v>
      </c>
      <c r="D561" s="22">
        <v>45541</v>
      </c>
    </row>
    <row r="562" spans="1:4" x14ac:dyDescent="0.3">
      <c r="A562" s="14" t="s">
        <v>337</v>
      </c>
      <c r="B562" s="14" t="s">
        <v>787</v>
      </c>
      <c r="C562" s="21">
        <v>14267</v>
      </c>
      <c r="D562" s="22">
        <v>45541</v>
      </c>
    </row>
    <row r="563" spans="1:4" x14ac:dyDescent="0.3">
      <c r="A563" s="14" t="s">
        <v>274</v>
      </c>
      <c r="B563" s="14" t="s">
        <v>785</v>
      </c>
      <c r="C563" s="21">
        <v>9778</v>
      </c>
      <c r="D563" s="22">
        <v>45542</v>
      </c>
    </row>
    <row r="564" spans="1:4" x14ac:dyDescent="0.3">
      <c r="A564" s="14" t="s">
        <v>561</v>
      </c>
      <c r="B564" s="14" t="s">
        <v>783</v>
      </c>
      <c r="C564" s="21">
        <v>14440</v>
      </c>
      <c r="D564" s="22">
        <v>45542</v>
      </c>
    </row>
    <row r="565" spans="1:4" x14ac:dyDescent="0.3">
      <c r="A565" s="14" t="s">
        <v>195</v>
      </c>
      <c r="B565" s="14" t="s">
        <v>787</v>
      </c>
      <c r="C565" s="21">
        <v>9944</v>
      </c>
      <c r="D565" s="22">
        <v>45542</v>
      </c>
    </row>
    <row r="566" spans="1:4" x14ac:dyDescent="0.3">
      <c r="A566" s="14" t="s">
        <v>619</v>
      </c>
      <c r="B566" s="14" t="s">
        <v>786</v>
      </c>
      <c r="C566" s="21">
        <v>10253</v>
      </c>
      <c r="D566" s="22">
        <v>45543</v>
      </c>
    </row>
    <row r="567" spans="1:4" x14ac:dyDescent="0.3">
      <c r="A567" s="14" t="s">
        <v>394</v>
      </c>
      <c r="B567" s="14" t="s">
        <v>786</v>
      </c>
      <c r="C567" s="21">
        <v>9847</v>
      </c>
      <c r="D567" s="22">
        <v>45543</v>
      </c>
    </row>
    <row r="568" spans="1:4" x14ac:dyDescent="0.3">
      <c r="A568" s="14" t="s">
        <v>522</v>
      </c>
      <c r="B568" s="14" t="s">
        <v>783</v>
      </c>
      <c r="C568" s="21">
        <v>15222</v>
      </c>
      <c r="D568" s="22">
        <v>45543</v>
      </c>
    </row>
    <row r="569" spans="1:4" x14ac:dyDescent="0.3">
      <c r="A569" s="14" t="s">
        <v>19</v>
      </c>
      <c r="B569" s="14" t="s">
        <v>787</v>
      </c>
      <c r="C569" s="21">
        <v>9613</v>
      </c>
      <c r="D569" s="22">
        <v>45543</v>
      </c>
    </row>
    <row r="570" spans="1:4" x14ac:dyDescent="0.3">
      <c r="A570" s="14" t="s">
        <v>431</v>
      </c>
      <c r="B570" s="14" t="s">
        <v>787</v>
      </c>
      <c r="C570" s="21">
        <v>16070</v>
      </c>
      <c r="D570" s="22">
        <v>45543</v>
      </c>
    </row>
    <row r="571" spans="1:4" x14ac:dyDescent="0.3">
      <c r="A571" s="14" t="s">
        <v>617</v>
      </c>
      <c r="B571" s="14" t="s">
        <v>787</v>
      </c>
      <c r="C571" s="21">
        <v>14851</v>
      </c>
      <c r="D571" s="22">
        <v>45545</v>
      </c>
    </row>
    <row r="572" spans="1:4" x14ac:dyDescent="0.3">
      <c r="A572" s="14" t="s">
        <v>624</v>
      </c>
      <c r="B572" s="14" t="s">
        <v>787</v>
      </c>
      <c r="C572" s="21">
        <v>5109</v>
      </c>
      <c r="D572" s="22">
        <v>45545</v>
      </c>
    </row>
    <row r="573" spans="1:4" x14ac:dyDescent="0.3">
      <c r="A573" s="14" t="s">
        <v>661</v>
      </c>
      <c r="B573" s="14" t="s">
        <v>787</v>
      </c>
      <c r="C573" s="21">
        <v>16987</v>
      </c>
      <c r="D573" s="22">
        <v>45545</v>
      </c>
    </row>
    <row r="574" spans="1:4" x14ac:dyDescent="0.3">
      <c r="A574" s="14" t="s">
        <v>714</v>
      </c>
      <c r="B574" s="14" t="s">
        <v>783</v>
      </c>
      <c r="C574" s="21">
        <v>7668</v>
      </c>
      <c r="D574" s="22">
        <v>45546</v>
      </c>
    </row>
    <row r="575" spans="1:4" x14ac:dyDescent="0.3">
      <c r="A575" s="14" t="s">
        <v>304</v>
      </c>
      <c r="B575" s="14" t="s">
        <v>787</v>
      </c>
      <c r="C575" s="21">
        <v>14771</v>
      </c>
      <c r="D575" s="22">
        <v>45546</v>
      </c>
    </row>
    <row r="576" spans="1:4" x14ac:dyDescent="0.3">
      <c r="A576" s="14" t="s">
        <v>204</v>
      </c>
      <c r="B576" s="14" t="s">
        <v>787</v>
      </c>
      <c r="C576" s="21">
        <v>7857</v>
      </c>
      <c r="D576" s="22">
        <v>45546</v>
      </c>
    </row>
    <row r="577" spans="1:4" x14ac:dyDescent="0.3">
      <c r="A577" s="14" t="s">
        <v>203</v>
      </c>
      <c r="B577" s="14" t="s">
        <v>784</v>
      </c>
      <c r="C577" s="21">
        <v>8726</v>
      </c>
      <c r="D577" s="22">
        <v>45546</v>
      </c>
    </row>
    <row r="578" spans="1:4" x14ac:dyDescent="0.3">
      <c r="A578" s="14" t="s">
        <v>356</v>
      </c>
      <c r="B578" s="14" t="s">
        <v>812</v>
      </c>
      <c r="C578" s="21">
        <v>14290</v>
      </c>
      <c r="D578" s="22">
        <v>45547</v>
      </c>
    </row>
    <row r="579" spans="1:4" x14ac:dyDescent="0.3">
      <c r="A579" s="14" t="s">
        <v>633</v>
      </c>
      <c r="B579" s="14" t="s">
        <v>783</v>
      </c>
      <c r="C579" s="21">
        <v>15667</v>
      </c>
      <c r="D579" s="22">
        <v>45547</v>
      </c>
    </row>
    <row r="580" spans="1:4" x14ac:dyDescent="0.3">
      <c r="A580" s="14" t="s">
        <v>806</v>
      </c>
      <c r="B580" s="14" t="s">
        <v>787</v>
      </c>
      <c r="C580" s="21">
        <v>9220</v>
      </c>
      <c r="D580" s="22">
        <v>45551</v>
      </c>
    </row>
    <row r="581" spans="1:4" x14ac:dyDescent="0.3">
      <c r="A581" s="14" t="s">
        <v>332</v>
      </c>
      <c r="B581" s="14" t="s">
        <v>787</v>
      </c>
      <c r="C581" s="21">
        <v>8883</v>
      </c>
      <c r="D581" s="22">
        <v>45551</v>
      </c>
    </row>
    <row r="582" spans="1:4" x14ac:dyDescent="0.3">
      <c r="A582" s="23" t="s">
        <v>807</v>
      </c>
      <c r="B582" s="14" t="s">
        <v>786</v>
      </c>
      <c r="C582" s="21">
        <v>5064</v>
      </c>
      <c r="D582" s="22">
        <v>45552</v>
      </c>
    </row>
    <row r="583" spans="1:4" x14ac:dyDescent="0.3">
      <c r="A583" s="14" t="s">
        <v>277</v>
      </c>
      <c r="B583" s="14" t="s">
        <v>812</v>
      </c>
      <c r="C583" s="21">
        <v>11733</v>
      </c>
      <c r="D583" s="22">
        <v>45552</v>
      </c>
    </row>
    <row r="584" spans="1:4" x14ac:dyDescent="0.3">
      <c r="A584" s="14" t="s">
        <v>315</v>
      </c>
      <c r="B584" s="14" t="s">
        <v>786</v>
      </c>
      <c r="C584" s="21">
        <v>9064</v>
      </c>
      <c r="D584" s="22">
        <v>45553</v>
      </c>
    </row>
    <row r="585" spans="1:4" x14ac:dyDescent="0.3">
      <c r="A585" s="14" t="s">
        <v>360</v>
      </c>
      <c r="B585" s="14" t="s">
        <v>784</v>
      </c>
      <c r="C585" s="21">
        <v>15617</v>
      </c>
      <c r="D585" s="22">
        <v>45553</v>
      </c>
    </row>
    <row r="586" spans="1:4" x14ac:dyDescent="0.3">
      <c r="A586" s="14" t="s">
        <v>607</v>
      </c>
      <c r="B586" s="14" t="s">
        <v>785</v>
      </c>
      <c r="C586" s="21">
        <v>16976</v>
      </c>
      <c r="D586" s="22">
        <v>45555</v>
      </c>
    </row>
    <row r="587" spans="1:4" x14ac:dyDescent="0.3">
      <c r="A587" s="14" t="s">
        <v>336</v>
      </c>
      <c r="B587" s="14" t="s">
        <v>785</v>
      </c>
      <c r="C587" s="21">
        <v>10293</v>
      </c>
      <c r="D587" s="22">
        <v>45556</v>
      </c>
    </row>
    <row r="588" spans="1:4" x14ac:dyDescent="0.3">
      <c r="A588" s="14" t="s">
        <v>246</v>
      </c>
      <c r="B588" s="14" t="s">
        <v>812</v>
      </c>
      <c r="C588" s="21">
        <v>8197</v>
      </c>
      <c r="D588" s="22">
        <v>45556</v>
      </c>
    </row>
    <row r="589" spans="1:4" x14ac:dyDescent="0.3">
      <c r="A589" s="14" t="s">
        <v>699</v>
      </c>
      <c r="B589" s="14" t="s">
        <v>783</v>
      </c>
      <c r="C589" s="21">
        <v>9878</v>
      </c>
      <c r="D589" s="22">
        <v>45557</v>
      </c>
    </row>
    <row r="590" spans="1:4" x14ac:dyDescent="0.3">
      <c r="A590" s="14" t="s">
        <v>669</v>
      </c>
      <c r="B590" s="14" t="s">
        <v>783</v>
      </c>
      <c r="C590" s="21">
        <v>7663</v>
      </c>
      <c r="D590" s="22">
        <v>45557</v>
      </c>
    </row>
    <row r="591" spans="1:4" x14ac:dyDescent="0.3">
      <c r="A591" s="14" t="s">
        <v>613</v>
      </c>
      <c r="B591" s="14" t="s">
        <v>784</v>
      </c>
      <c r="C591" s="21">
        <v>5390</v>
      </c>
      <c r="D591" s="22">
        <v>45557</v>
      </c>
    </row>
    <row r="592" spans="1:4" x14ac:dyDescent="0.3">
      <c r="A592" s="14" t="s">
        <v>474</v>
      </c>
      <c r="B592" s="14" t="s">
        <v>784</v>
      </c>
      <c r="C592" s="21">
        <v>7532</v>
      </c>
      <c r="D592" s="22">
        <v>45557</v>
      </c>
    </row>
    <row r="593" spans="1:4" x14ac:dyDescent="0.3">
      <c r="A593" s="14" t="s">
        <v>572</v>
      </c>
      <c r="B593" s="14" t="s">
        <v>785</v>
      </c>
      <c r="C593" s="21">
        <v>13175</v>
      </c>
      <c r="D593" s="22">
        <v>45558</v>
      </c>
    </row>
    <row r="594" spans="1:4" x14ac:dyDescent="0.3">
      <c r="A594" s="14" t="s">
        <v>547</v>
      </c>
      <c r="B594" s="14" t="s">
        <v>787</v>
      </c>
      <c r="C594" s="21">
        <v>16803</v>
      </c>
      <c r="D594" s="22">
        <v>45560</v>
      </c>
    </row>
    <row r="595" spans="1:4" x14ac:dyDescent="0.3">
      <c r="A595" s="14" t="s">
        <v>435</v>
      </c>
      <c r="B595" s="14" t="s">
        <v>812</v>
      </c>
      <c r="C595" s="21">
        <v>12147</v>
      </c>
      <c r="D595" s="22">
        <v>45561</v>
      </c>
    </row>
    <row r="596" spans="1:4" x14ac:dyDescent="0.3">
      <c r="A596" s="14" t="s">
        <v>302</v>
      </c>
      <c r="B596" s="14" t="s">
        <v>784</v>
      </c>
      <c r="C596" s="21">
        <v>15428</v>
      </c>
      <c r="D596" s="22">
        <v>45562</v>
      </c>
    </row>
    <row r="597" spans="1:4" x14ac:dyDescent="0.3">
      <c r="A597" s="14" t="s">
        <v>106</v>
      </c>
      <c r="B597" s="14" t="s">
        <v>784</v>
      </c>
      <c r="C597" s="21">
        <v>15933</v>
      </c>
      <c r="D597" s="22">
        <v>45563</v>
      </c>
    </row>
    <row r="598" spans="1:4" x14ac:dyDescent="0.3">
      <c r="A598" s="14" t="s">
        <v>487</v>
      </c>
      <c r="B598" s="14" t="s">
        <v>785</v>
      </c>
      <c r="C598" s="21">
        <v>7384</v>
      </c>
      <c r="D598" s="22">
        <v>45564</v>
      </c>
    </row>
    <row r="599" spans="1:4" x14ac:dyDescent="0.3">
      <c r="A599" s="14" t="s">
        <v>564</v>
      </c>
      <c r="B599" s="14" t="s">
        <v>787</v>
      </c>
      <c r="C599" s="21">
        <v>13094</v>
      </c>
      <c r="D599" s="22">
        <v>45564</v>
      </c>
    </row>
    <row r="600" spans="1:4" x14ac:dyDescent="0.3">
      <c r="A600" s="14" t="s">
        <v>677</v>
      </c>
      <c r="B600" s="14" t="s">
        <v>785</v>
      </c>
      <c r="C600" s="21">
        <v>12066</v>
      </c>
      <c r="D600" s="22">
        <v>45565</v>
      </c>
    </row>
    <row r="601" spans="1:4" x14ac:dyDescent="0.3">
      <c r="A601" s="14" t="s">
        <v>141</v>
      </c>
      <c r="B601" s="14" t="s">
        <v>784</v>
      </c>
      <c r="C601" s="21">
        <v>11624</v>
      </c>
      <c r="D601" s="22">
        <v>45565</v>
      </c>
    </row>
    <row r="602" spans="1:4" x14ac:dyDescent="0.3">
      <c r="A602" s="14" t="s">
        <v>43</v>
      </c>
      <c r="B602" s="14" t="s">
        <v>785</v>
      </c>
      <c r="C602" s="21">
        <v>7912</v>
      </c>
      <c r="D602" s="22">
        <v>45566</v>
      </c>
    </row>
    <row r="603" spans="1:4" x14ac:dyDescent="0.3">
      <c r="A603" s="14" t="s">
        <v>447</v>
      </c>
      <c r="B603" s="14" t="s">
        <v>785</v>
      </c>
      <c r="C603" s="21">
        <v>7727</v>
      </c>
      <c r="D603" s="22">
        <v>45566</v>
      </c>
    </row>
    <row r="604" spans="1:4" x14ac:dyDescent="0.3">
      <c r="A604" s="14" t="s">
        <v>478</v>
      </c>
      <c r="B604" s="14" t="s">
        <v>785</v>
      </c>
      <c r="C604" s="21">
        <v>13671</v>
      </c>
      <c r="D604" s="22">
        <v>45566</v>
      </c>
    </row>
    <row r="605" spans="1:4" x14ac:dyDescent="0.3">
      <c r="A605" s="14" t="s">
        <v>588</v>
      </c>
      <c r="B605" s="14" t="s">
        <v>784</v>
      </c>
      <c r="C605" s="21">
        <v>14988</v>
      </c>
      <c r="D605" s="22">
        <v>45567</v>
      </c>
    </row>
    <row r="606" spans="1:4" x14ac:dyDescent="0.3">
      <c r="A606" s="14" t="s">
        <v>164</v>
      </c>
      <c r="B606" s="14" t="s">
        <v>785</v>
      </c>
      <c r="C606" s="21">
        <v>11536</v>
      </c>
      <c r="D606" s="22">
        <v>45568</v>
      </c>
    </row>
    <row r="607" spans="1:4" x14ac:dyDescent="0.3">
      <c r="A607" s="14" t="s">
        <v>612</v>
      </c>
      <c r="B607" s="14" t="s">
        <v>785</v>
      </c>
      <c r="C607" s="21">
        <v>12928</v>
      </c>
      <c r="D607" s="22">
        <v>45568</v>
      </c>
    </row>
    <row r="608" spans="1:4" x14ac:dyDescent="0.3">
      <c r="A608" s="14" t="s">
        <v>702</v>
      </c>
      <c r="B608" s="14" t="s">
        <v>785</v>
      </c>
      <c r="C608" s="21">
        <v>13010</v>
      </c>
      <c r="D608" s="22">
        <v>45569</v>
      </c>
    </row>
    <row r="609" spans="1:4" x14ac:dyDescent="0.3">
      <c r="A609" s="14" t="s">
        <v>685</v>
      </c>
      <c r="B609" s="14" t="s">
        <v>783</v>
      </c>
      <c r="C609" s="21">
        <v>6829</v>
      </c>
      <c r="D609" s="22">
        <v>45569</v>
      </c>
    </row>
    <row r="610" spans="1:4" x14ac:dyDescent="0.3">
      <c r="A610" s="14" t="s">
        <v>402</v>
      </c>
      <c r="B610" s="14" t="s">
        <v>787</v>
      </c>
      <c r="C610" s="21">
        <v>14954</v>
      </c>
      <c r="D610" s="22">
        <v>45569</v>
      </c>
    </row>
    <row r="611" spans="1:4" x14ac:dyDescent="0.3">
      <c r="A611" s="14" t="s">
        <v>318</v>
      </c>
      <c r="B611" s="14" t="s">
        <v>785</v>
      </c>
      <c r="C611" s="21">
        <v>7893</v>
      </c>
      <c r="D611" s="22">
        <v>45570</v>
      </c>
    </row>
    <row r="612" spans="1:4" x14ac:dyDescent="0.3">
      <c r="A612" s="14" t="s">
        <v>648</v>
      </c>
      <c r="B612" s="14" t="s">
        <v>787</v>
      </c>
      <c r="C612" s="21">
        <v>15189</v>
      </c>
      <c r="D612" s="22">
        <v>45570</v>
      </c>
    </row>
    <row r="613" spans="1:4" x14ac:dyDescent="0.3">
      <c r="A613" s="14" t="s">
        <v>165</v>
      </c>
      <c r="B613" s="14" t="s">
        <v>784</v>
      </c>
      <c r="C613" s="21">
        <v>15231</v>
      </c>
      <c r="D613" s="22">
        <v>45571</v>
      </c>
    </row>
    <row r="614" spans="1:4" x14ac:dyDescent="0.3">
      <c r="A614" s="14" t="s">
        <v>693</v>
      </c>
      <c r="B614" s="14" t="s">
        <v>785</v>
      </c>
      <c r="C614" s="21">
        <v>13534</v>
      </c>
      <c r="D614" s="22">
        <v>45572</v>
      </c>
    </row>
    <row r="615" spans="1:4" x14ac:dyDescent="0.3">
      <c r="A615" s="14" t="s">
        <v>181</v>
      </c>
      <c r="B615" s="14" t="s">
        <v>785</v>
      </c>
      <c r="C615" s="21">
        <v>15100</v>
      </c>
      <c r="D615" s="22">
        <v>45572</v>
      </c>
    </row>
    <row r="616" spans="1:4" x14ac:dyDescent="0.3">
      <c r="A616" s="14" t="s">
        <v>396</v>
      </c>
      <c r="B616" s="14" t="s">
        <v>786</v>
      </c>
      <c r="C616" s="21">
        <v>10777</v>
      </c>
      <c r="D616" s="22">
        <v>45572</v>
      </c>
    </row>
    <row r="617" spans="1:4" x14ac:dyDescent="0.3">
      <c r="A617" s="14" t="s">
        <v>299</v>
      </c>
      <c r="B617" s="14" t="s">
        <v>783</v>
      </c>
      <c r="C617" s="21">
        <v>13820</v>
      </c>
      <c r="D617" s="22">
        <v>45572</v>
      </c>
    </row>
    <row r="618" spans="1:4" x14ac:dyDescent="0.3">
      <c r="A618" s="14" t="s">
        <v>69</v>
      </c>
      <c r="B618" s="14" t="s">
        <v>787</v>
      </c>
      <c r="C618" s="21">
        <v>10354</v>
      </c>
      <c r="D618" s="22">
        <v>45572</v>
      </c>
    </row>
    <row r="619" spans="1:4" x14ac:dyDescent="0.3">
      <c r="A619" s="14" t="s">
        <v>620</v>
      </c>
      <c r="B619" s="14" t="s">
        <v>787</v>
      </c>
      <c r="C619" s="21">
        <v>7843</v>
      </c>
      <c r="D619" s="22">
        <v>45572</v>
      </c>
    </row>
    <row r="620" spans="1:4" x14ac:dyDescent="0.3">
      <c r="A620" s="14" t="s">
        <v>609</v>
      </c>
      <c r="B620" s="14" t="s">
        <v>784</v>
      </c>
      <c r="C620" s="21">
        <v>8339</v>
      </c>
      <c r="D620" s="22">
        <v>45573</v>
      </c>
    </row>
    <row r="621" spans="1:4" x14ac:dyDescent="0.3">
      <c r="A621" s="14" t="s">
        <v>716</v>
      </c>
      <c r="B621" s="14" t="s">
        <v>786</v>
      </c>
      <c r="C621" s="21">
        <v>5425</v>
      </c>
      <c r="D621" s="22">
        <v>45574</v>
      </c>
    </row>
    <row r="622" spans="1:4" x14ac:dyDescent="0.3">
      <c r="A622" s="14" t="s">
        <v>556</v>
      </c>
      <c r="B622" s="14" t="s">
        <v>785</v>
      </c>
      <c r="C622" s="21">
        <v>8454</v>
      </c>
      <c r="D622" s="22">
        <v>45575</v>
      </c>
    </row>
    <row r="623" spans="1:4" x14ac:dyDescent="0.3">
      <c r="A623" s="14" t="s">
        <v>523</v>
      </c>
      <c r="B623" s="14" t="s">
        <v>786</v>
      </c>
      <c r="C623" s="21">
        <v>11582</v>
      </c>
      <c r="D623" s="22">
        <v>45575</v>
      </c>
    </row>
    <row r="624" spans="1:4" x14ac:dyDescent="0.3">
      <c r="A624" s="14" t="s">
        <v>327</v>
      </c>
      <c r="B624" s="14" t="s">
        <v>783</v>
      </c>
      <c r="C624" s="21">
        <v>16813</v>
      </c>
      <c r="D624" s="22">
        <v>45575</v>
      </c>
    </row>
    <row r="625" spans="1:4" x14ac:dyDescent="0.3">
      <c r="A625" s="23" t="s">
        <v>808</v>
      </c>
      <c r="B625" s="14" t="s">
        <v>787</v>
      </c>
      <c r="C625" s="21">
        <v>6229</v>
      </c>
      <c r="D625" s="22">
        <v>45575</v>
      </c>
    </row>
    <row r="626" spans="1:4" x14ac:dyDescent="0.3">
      <c r="A626" s="14" t="s">
        <v>453</v>
      </c>
      <c r="B626" s="14" t="s">
        <v>784</v>
      </c>
      <c r="C626" s="21">
        <v>11372</v>
      </c>
      <c r="D626" s="22">
        <v>45575</v>
      </c>
    </row>
    <row r="627" spans="1:4" x14ac:dyDescent="0.3">
      <c r="A627" s="14" t="s">
        <v>489</v>
      </c>
      <c r="B627" s="14" t="s">
        <v>786</v>
      </c>
      <c r="C627" s="21">
        <v>11400</v>
      </c>
      <c r="D627" s="22">
        <v>45576</v>
      </c>
    </row>
    <row r="628" spans="1:4" x14ac:dyDescent="0.3">
      <c r="A628" s="14" t="s">
        <v>230</v>
      </c>
      <c r="B628" s="14" t="s">
        <v>787</v>
      </c>
      <c r="C628" s="21">
        <v>8009</v>
      </c>
      <c r="D628" s="22">
        <v>45577</v>
      </c>
    </row>
    <row r="629" spans="1:4" x14ac:dyDescent="0.3">
      <c r="A629" s="14" t="s">
        <v>514</v>
      </c>
      <c r="B629" s="14" t="s">
        <v>786</v>
      </c>
      <c r="C629" s="21">
        <v>8846</v>
      </c>
      <c r="D629" s="22">
        <v>45578</v>
      </c>
    </row>
    <row r="630" spans="1:4" x14ac:dyDescent="0.3">
      <c r="A630" s="14" t="s">
        <v>686</v>
      </c>
      <c r="B630" s="14" t="s">
        <v>787</v>
      </c>
      <c r="C630" s="21">
        <v>7325</v>
      </c>
      <c r="D630" s="22">
        <v>45578</v>
      </c>
    </row>
    <row r="631" spans="1:4" x14ac:dyDescent="0.3">
      <c r="A631" s="14" t="s">
        <v>479</v>
      </c>
      <c r="B631" s="14" t="s">
        <v>786</v>
      </c>
      <c r="C631" s="21">
        <v>11657</v>
      </c>
      <c r="D631" s="22">
        <v>45579</v>
      </c>
    </row>
    <row r="632" spans="1:4" x14ac:dyDescent="0.3">
      <c r="A632" s="14" t="s">
        <v>604</v>
      </c>
      <c r="B632" s="14" t="s">
        <v>785</v>
      </c>
      <c r="C632" s="21">
        <v>12217</v>
      </c>
      <c r="D632" s="22">
        <v>45580</v>
      </c>
    </row>
    <row r="633" spans="1:4" x14ac:dyDescent="0.3">
      <c r="A633" s="14" t="s">
        <v>429</v>
      </c>
      <c r="B633" s="14" t="s">
        <v>785</v>
      </c>
      <c r="C633" s="21">
        <v>7910</v>
      </c>
      <c r="D633" s="22">
        <v>45581</v>
      </c>
    </row>
    <row r="634" spans="1:4" x14ac:dyDescent="0.3">
      <c r="A634" s="14" t="s">
        <v>253</v>
      </c>
      <c r="B634" s="14" t="s">
        <v>787</v>
      </c>
      <c r="C634" s="21">
        <v>12151</v>
      </c>
      <c r="D634" s="22">
        <v>45581</v>
      </c>
    </row>
    <row r="635" spans="1:4" x14ac:dyDescent="0.3">
      <c r="A635" s="14" t="s">
        <v>96</v>
      </c>
      <c r="B635" s="14" t="s">
        <v>785</v>
      </c>
      <c r="C635" s="21">
        <v>14125</v>
      </c>
      <c r="D635" s="22">
        <v>45582</v>
      </c>
    </row>
    <row r="636" spans="1:4" x14ac:dyDescent="0.3">
      <c r="A636" s="14" t="s">
        <v>214</v>
      </c>
      <c r="B636" s="14" t="s">
        <v>787</v>
      </c>
      <c r="C636" s="21">
        <v>12955</v>
      </c>
      <c r="D636" s="22">
        <v>45582</v>
      </c>
    </row>
    <row r="637" spans="1:4" x14ac:dyDescent="0.3">
      <c r="A637" s="14" t="s">
        <v>368</v>
      </c>
      <c r="B637" s="14" t="s">
        <v>787</v>
      </c>
      <c r="C637" s="21">
        <v>9730</v>
      </c>
      <c r="D637" s="22">
        <v>45582</v>
      </c>
    </row>
    <row r="638" spans="1:4" x14ac:dyDescent="0.3">
      <c r="A638" s="14" t="s">
        <v>370</v>
      </c>
      <c r="B638" s="14" t="s">
        <v>784</v>
      </c>
      <c r="C638" s="21">
        <v>11110</v>
      </c>
      <c r="D638" s="22">
        <v>45583</v>
      </c>
    </row>
    <row r="639" spans="1:4" x14ac:dyDescent="0.3">
      <c r="A639" s="14" t="s">
        <v>362</v>
      </c>
      <c r="B639" s="14" t="s">
        <v>785</v>
      </c>
      <c r="C639" s="21">
        <v>16504</v>
      </c>
      <c r="D639" s="22">
        <v>45584</v>
      </c>
    </row>
    <row r="640" spans="1:4" x14ac:dyDescent="0.3">
      <c r="A640" s="14" t="s">
        <v>671</v>
      </c>
      <c r="B640" s="14" t="s">
        <v>784</v>
      </c>
      <c r="C640" s="21">
        <v>13472</v>
      </c>
      <c r="D640" s="22">
        <v>45585</v>
      </c>
    </row>
    <row r="641" spans="1:4" x14ac:dyDescent="0.3">
      <c r="A641" s="14" t="s">
        <v>809</v>
      </c>
      <c r="B641" s="14" t="s">
        <v>785</v>
      </c>
      <c r="C641" s="21">
        <v>16596</v>
      </c>
      <c r="D641" s="22">
        <v>45586</v>
      </c>
    </row>
    <row r="642" spans="1:4" x14ac:dyDescent="0.3">
      <c r="A642" s="14" t="s">
        <v>733</v>
      </c>
      <c r="B642" s="14" t="s">
        <v>786</v>
      </c>
      <c r="C642" s="21">
        <v>11227</v>
      </c>
      <c r="D642" s="22">
        <v>45586</v>
      </c>
    </row>
    <row r="643" spans="1:4" x14ac:dyDescent="0.3">
      <c r="A643" s="14" t="s">
        <v>658</v>
      </c>
      <c r="B643" s="14" t="s">
        <v>812</v>
      </c>
      <c r="C643" s="21">
        <v>9665</v>
      </c>
      <c r="D643" s="22">
        <v>45586</v>
      </c>
    </row>
    <row r="644" spans="1:4" x14ac:dyDescent="0.3">
      <c r="A644" s="14" t="s">
        <v>692</v>
      </c>
      <c r="B644" s="14" t="s">
        <v>812</v>
      </c>
      <c r="C644" s="21">
        <v>16586</v>
      </c>
      <c r="D644" s="22">
        <v>45586</v>
      </c>
    </row>
    <row r="645" spans="1:4" x14ac:dyDescent="0.3">
      <c r="A645" s="14" t="s">
        <v>767</v>
      </c>
      <c r="B645" s="14" t="s">
        <v>783</v>
      </c>
      <c r="C645" s="21">
        <v>7828</v>
      </c>
      <c r="D645" s="22">
        <v>45586</v>
      </c>
    </row>
    <row r="646" spans="1:4" x14ac:dyDescent="0.3">
      <c r="A646" s="14" t="s">
        <v>157</v>
      </c>
      <c r="B646" s="14" t="s">
        <v>786</v>
      </c>
      <c r="C646" s="21">
        <v>14659</v>
      </c>
      <c r="D646" s="22">
        <v>45587</v>
      </c>
    </row>
    <row r="647" spans="1:4" x14ac:dyDescent="0.3">
      <c r="A647" s="14" t="s">
        <v>477</v>
      </c>
      <c r="B647" s="14" t="s">
        <v>812</v>
      </c>
      <c r="C647" s="21">
        <v>6299</v>
      </c>
      <c r="D647" s="22">
        <v>45587</v>
      </c>
    </row>
    <row r="648" spans="1:4" x14ac:dyDescent="0.3">
      <c r="A648" s="14" t="s">
        <v>288</v>
      </c>
      <c r="B648" s="14" t="s">
        <v>787</v>
      </c>
      <c r="C648" s="21">
        <v>9436</v>
      </c>
      <c r="D648" s="22">
        <v>45587</v>
      </c>
    </row>
    <row r="649" spans="1:4" x14ac:dyDescent="0.3">
      <c r="A649" s="14" t="s">
        <v>335</v>
      </c>
      <c r="B649" s="14" t="s">
        <v>785</v>
      </c>
      <c r="C649" s="21">
        <v>10745</v>
      </c>
      <c r="D649" s="22">
        <v>45588</v>
      </c>
    </row>
    <row r="650" spans="1:4" x14ac:dyDescent="0.3">
      <c r="A650" s="14" t="s">
        <v>123</v>
      </c>
      <c r="B650" s="14" t="s">
        <v>786</v>
      </c>
      <c r="C650" s="21">
        <v>14269</v>
      </c>
      <c r="D650" s="22">
        <v>45588</v>
      </c>
    </row>
    <row r="651" spans="1:4" x14ac:dyDescent="0.3">
      <c r="A651" s="14" t="s">
        <v>194</v>
      </c>
      <c r="B651" s="14" t="s">
        <v>783</v>
      </c>
      <c r="C651" s="21">
        <v>5376</v>
      </c>
      <c r="D651" s="22">
        <v>45588</v>
      </c>
    </row>
    <row r="652" spans="1:4" x14ac:dyDescent="0.3">
      <c r="A652" s="14" t="s">
        <v>310</v>
      </c>
      <c r="B652" s="14" t="s">
        <v>787</v>
      </c>
      <c r="C652" s="21">
        <v>9866</v>
      </c>
      <c r="D652" s="22">
        <v>45589</v>
      </c>
    </row>
    <row r="653" spans="1:4" x14ac:dyDescent="0.3">
      <c r="A653" s="14" t="s">
        <v>172</v>
      </c>
      <c r="B653" s="14" t="s">
        <v>787</v>
      </c>
      <c r="C653" s="21">
        <v>6505</v>
      </c>
      <c r="D653" s="22">
        <v>45590</v>
      </c>
    </row>
    <row r="654" spans="1:4" x14ac:dyDescent="0.3">
      <c r="A654" s="14" t="s">
        <v>305</v>
      </c>
      <c r="B654" s="14" t="s">
        <v>785</v>
      </c>
      <c r="C654" s="21">
        <v>5812</v>
      </c>
      <c r="D654" s="22">
        <v>45591</v>
      </c>
    </row>
    <row r="655" spans="1:4" x14ac:dyDescent="0.3">
      <c r="A655" s="14" t="s">
        <v>531</v>
      </c>
      <c r="B655" s="14" t="s">
        <v>786</v>
      </c>
      <c r="C655" s="21">
        <v>15356</v>
      </c>
      <c r="D655" s="22">
        <v>45591</v>
      </c>
    </row>
    <row r="656" spans="1:4" x14ac:dyDescent="0.3">
      <c r="A656" s="14" t="s">
        <v>211</v>
      </c>
      <c r="B656" s="14" t="s">
        <v>787</v>
      </c>
      <c r="C656" s="21">
        <v>13243</v>
      </c>
      <c r="D656" s="22">
        <v>45591</v>
      </c>
    </row>
    <row r="657" spans="1:4" x14ac:dyDescent="0.3">
      <c r="A657" s="14" t="s">
        <v>239</v>
      </c>
      <c r="B657" s="14" t="s">
        <v>812</v>
      </c>
      <c r="C657" s="21">
        <v>16314</v>
      </c>
      <c r="D657" s="22">
        <v>45592</v>
      </c>
    </row>
    <row r="658" spans="1:4" x14ac:dyDescent="0.3">
      <c r="A658" s="14" t="s">
        <v>186</v>
      </c>
      <c r="B658" s="14" t="s">
        <v>787</v>
      </c>
      <c r="C658" s="21">
        <v>16825</v>
      </c>
      <c r="D658" s="22">
        <v>45592</v>
      </c>
    </row>
    <row r="659" spans="1:4" x14ac:dyDescent="0.3">
      <c r="A659" s="14" t="s">
        <v>637</v>
      </c>
      <c r="B659" s="14" t="s">
        <v>812</v>
      </c>
      <c r="C659" s="21">
        <v>15539</v>
      </c>
      <c r="D659" s="22">
        <v>45593</v>
      </c>
    </row>
    <row r="660" spans="1:4" x14ac:dyDescent="0.3">
      <c r="A660" s="14" t="s">
        <v>256</v>
      </c>
      <c r="B660" s="14" t="s">
        <v>783</v>
      </c>
      <c r="C660" s="21">
        <v>9606</v>
      </c>
      <c r="D660" s="22">
        <v>45593</v>
      </c>
    </row>
    <row r="661" spans="1:4" x14ac:dyDescent="0.3">
      <c r="A661" s="14" t="s">
        <v>187</v>
      </c>
      <c r="B661" s="14" t="s">
        <v>783</v>
      </c>
      <c r="C661" s="21">
        <v>7270</v>
      </c>
      <c r="D661" s="22">
        <v>45593</v>
      </c>
    </row>
    <row r="662" spans="1:4" x14ac:dyDescent="0.3">
      <c r="A662" s="14" t="s">
        <v>627</v>
      </c>
      <c r="B662" s="14" t="s">
        <v>783</v>
      </c>
      <c r="C662" s="21">
        <v>7835</v>
      </c>
      <c r="D662" s="22">
        <v>45593</v>
      </c>
    </row>
    <row r="663" spans="1:4" x14ac:dyDescent="0.3">
      <c r="A663" s="14" t="s">
        <v>119</v>
      </c>
      <c r="B663" s="14" t="s">
        <v>787</v>
      </c>
      <c r="C663" s="21">
        <v>10032</v>
      </c>
      <c r="D663" s="22">
        <v>45593</v>
      </c>
    </row>
    <row r="664" spans="1:4" x14ac:dyDescent="0.3">
      <c r="A664" s="14" t="s">
        <v>727</v>
      </c>
      <c r="B664" s="14" t="s">
        <v>785</v>
      </c>
      <c r="C664" s="21">
        <v>11613</v>
      </c>
      <c r="D664" s="22">
        <v>45594</v>
      </c>
    </row>
    <row r="665" spans="1:4" x14ac:dyDescent="0.3">
      <c r="A665" s="14" t="s">
        <v>68</v>
      </c>
      <c r="B665" s="14" t="s">
        <v>785</v>
      </c>
      <c r="C665" s="21">
        <v>10318</v>
      </c>
      <c r="D665" s="22">
        <v>45594</v>
      </c>
    </row>
    <row r="666" spans="1:4" x14ac:dyDescent="0.3">
      <c r="A666" s="14" t="s">
        <v>206</v>
      </c>
      <c r="B666" s="14" t="s">
        <v>787</v>
      </c>
      <c r="C666" s="21">
        <v>11418</v>
      </c>
      <c r="D666" s="22">
        <v>45594</v>
      </c>
    </row>
    <row r="667" spans="1:4" x14ac:dyDescent="0.3">
      <c r="A667" s="14" t="s">
        <v>11</v>
      </c>
      <c r="B667" s="14" t="s">
        <v>787</v>
      </c>
      <c r="C667" s="21">
        <v>5160</v>
      </c>
      <c r="D667" s="22">
        <v>45595</v>
      </c>
    </row>
    <row r="668" spans="1:4" x14ac:dyDescent="0.3">
      <c r="A668" s="14" t="s">
        <v>303</v>
      </c>
      <c r="B668" s="14" t="s">
        <v>784</v>
      </c>
      <c r="C668" s="21">
        <v>6684</v>
      </c>
      <c r="D668" s="22">
        <v>45595</v>
      </c>
    </row>
    <row r="669" spans="1:4" x14ac:dyDescent="0.3">
      <c r="A669" s="14" t="s">
        <v>381</v>
      </c>
      <c r="B669" s="14" t="s">
        <v>786</v>
      </c>
      <c r="C669" s="21">
        <v>16273</v>
      </c>
      <c r="D669" s="22">
        <v>45596</v>
      </c>
    </row>
    <row r="670" spans="1:4" x14ac:dyDescent="0.3">
      <c r="A670" s="14" t="s">
        <v>251</v>
      </c>
      <c r="B670" s="14" t="s">
        <v>783</v>
      </c>
      <c r="C670" s="21">
        <v>16487</v>
      </c>
      <c r="D670" s="22">
        <v>45596</v>
      </c>
    </row>
    <row r="671" spans="1:4" x14ac:dyDescent="0.3">
      <c r="A671" s="14" t="s">
        <v>352</v>
      </c>
      <c r="B671" s="14" t="s">
        <v>787</v>
      </c>
      <c r="C671" s="21">
        <v>11587</v>
      </c>
      <c r="D671" s="22">
        <v>45596</v>
      </c>
    </row>
    <row r="672" spans="1:4" x14ac:dyDescent="0.3">
      <c r="A672" s="14" t="s">
        <v>223</v>
      </c>
      <c r="B672" s="14" t="s">
        <v>786</v>
      </c>
      <c r="C672" s="21">
        <v>6896</v>
      </c>
      <c r="D672" s="22">
        <v>45597</v>
      </c>
    </row>
    <row r="673" spans="1:4" x14ac:dyDescent="0.3">
      <c r="A673" s="14" t="s">
        <v>654</v>
      </c>
      <c r="B673" s="14" t="s">
        <v>786</v>
      </c>
      <c r="C673" s="21">
        <v>12284</v>
      </c>
      <c r="D673" s="22">
        <v>45598</v>
      </c>
    </row>
    <row r="674" spans="1:4" x14ac:dyDescent="0.3">
      <c r="A674" s="14" t="s">
        <v>191</v>
      </c>
      <c r="B674" s="14" t="s">
        <v>812</v>
      </c>
      <c r="C674" s="21">
        <v>7866</v>
      </c>
      <c r="D674" s="22">
        <v>45598</v>
      </c>
    </row>
    <row r="675" spans="1:4" x14ac:dyDescent="0.3">
      <c r="A675" s="14" t="s">
        <v>222</v>
      </c>
      <c r="B675" s="14" t="s">
        <v>783</v>
      </c>
      <c r="C675" s="21">
        <v>7047</v>
      </c>
      <c r="D675" s="22">
        <v>45599</v>
      </c>
    </row>
    <row r="676" spans="1:4" x14ac:dyDescent="0.3">
      <c r="A676" s="14" t="s">
        <v>542</v>
      </c>
      <c r="B676" s="14" t="s">
        <v>783</v>
      </c>
      <c r="C676" s="21">
        <v>13603</v>
      </c>
      <c r="D676" s="22">
        <v>45599</v>
      </c>
    </row>
    <row r="677" spans="1:4" x14ac:dyDescent="0.3">
      <c r="A677" s="14" t="s">
        <v>329</v>
      </c>
      <c r="B677" s="14" t="s">
        <v>783</v>
      </c>
      <c r="C677" s="21">
        <v>7211</v>
      </c>
      <c r="D677" s="22">
        <v>45599</v>
      </c>
    </row>
    <row r="678" spans="1:4" x14ac:dyDescent="0.3">
      <c r="A678" s="14" t="s">
        <v>718</v>
      </c>
      <c r="B678" s="14" t="s">
        <v>787</v>
      </c>
      <c r="C678" s="21">
        <v>16491</v>
      </c>
      <c r="D678" s="22">
        <v>45599</v>
      </c>
    </row>
    <row r="679" spans="1:4" x14ac:dyDescent="0.3">
      <c r="A679" s="14" t="s">
        <v>642</v>
      </c>
      <c r="B679" s="14" t="s">
        <v>784</v>
      </c>
      <c r="C679" s="21">
        <v>12742</v>
      </c>
      <c r="D679" s="22">
        <v>45599</v>
      </c>
    </row>
    <row r="680" spans="1:4" x14ac:dyDescent="0.3">
      <c r="A680" s="14" t="s">
        <v>342</v>
      </c>
      <c r="B680" s="14" t="s">
        <v>786</v>
      </c>
      <c r="C680" s="21">
        <v>15052</v>
      </c>
      <c r="D680" s="22">
        <v>45600</v>
      </c>
    </row>
    <row r="681" spans="1:4" x14ac:dyDescent="0.3">
      <c r="A681" s="14" t="s">
        <v>142</v>
      </c>
      <c r="B681" s="14" t="s">
        <v>786</v>
      </c>
      <c r="C681" s="21">
        <v>9488</v>
      </c>
      <c r="D681" s="22">
        <v>45600</v>
      </c>
    </row>
    <row r="682" spans="1:4" x14ac:dyDescent="0.3">
      <c r="A682" s="14" t="s">
        <v>134</v>
      </c>
      <c r="B682" s="14" t="s">
        <v>787</v>
      </c>
      <c r="C682" s="21">
        <v>7732</v>
      </c>
      <c r="D682" s="22">
        <v>45600</v>
      </c>
    </row>
    <row r="683" spans="1:4" x14ac:dyDescent="0.3">
      <c r="A683" s="14" t="s">
        <v>73</v>
      </c>
      <c r="B683" s="14" t="s">
        <v>784</v>
      </c>
      <c r="C683" s="21">
        <v>8765</v>
      </c>
      <c r="D683" s="22">
        <v>45600</v>
      </c>
    </row>
    <row r="684" spans="1:4" x14ac:dyDescent="0.3">
      <c r="A684" s="14" t="s">
        <v>100</v>
      </c>
      <c r="B684" s="14" t="s">
        <v>787</v>
      </c>
      <c r="C684" s="21">
        <v>6371</v>
      </c>
      <c r="D684" s="22">
        <v>45601</v>
      </c>
    </row>
    <row r="685" spans="1:4" x14ac:dyDescent="0.3">
      <c r="A685" s="14" t="s">
        <v>212</v>
      </c>
      <c r="B685" s="14" t="s">
        <v>785</v>
      </c>
      <c r="C685" s="21">
        <v>9866</v>
      </c>
      <c r="D685" s="22">
        <v>45602</v>
      </c>
    </row>
    <row r="686" spans="1:4" x14ac:dyDescent="0.3">
      <c r="A686" s="14" t="s">
        <v>458</v>
      </c>
      <c r="B686" s="14" t="s">
        <v>783</v>
      </c>
      <c r="C686" s="21">
        <v>11288</v>
      </c>
      <c r="D686" s="22">
        <v>45602</v>
      </c>
    </row>
    <row r="687" spans="1:4" x14ac:dyDescent="0.3">
      <c r="A687" s="14" t="s">
        <v>45</v>
      </c>
      <c r="B687" s="14" t="s">
        <v>786</v>
      </c>
      <c r="C687" s="21">
        <v>15321</v>
      </c>
      <c r="D687" s="22">
        <v>45604</v>
      </c>
    </row>
    <row r="688" spans="1:4" x14ac:dyDescent="0.3">
      <c r="A688" s="14" t="s">
        <v>205</v>
      </c>
      <c r="B688" s="14" t="s">
        <v>786</v>
      </c>
      <c r="C688" s="21">
        <v>15223</v>
      </c>
      <c r="D688" s="22">
        <v>45604</v>
      </c>
    </row>
    <row r="689" spans="1:4" x14ac:dyDescent="0.3">
      <c r="A689" s="14" t="s">
        <v>567</v>
      </c>
      <c r="B689" s="14" t="s">
        <v>783</v>
      </c>
      <c r="C689" s="21">
        <v>11093</v>
      </c>
      <c r="D689" s="22">
        <v>45604</v>
      </c>
    </row>
    <row r="690" spans="1:4" x14ac:dyDescent="0.3">
      <c r="A690" s="14" t="s">
        <v>618</v>
      </c>
      <c r="B690" s="14" t="s">
        <v>787</v>
      </c>
      <c r="C690" s="21">
        <v>5390</v>
      </c>
      <c r="D690" s="22">
        <v>45604</v>
      </c>
    </row>
    <row r="691" spans="1:4" x14ac:dyDescent="0.3">
      <c r="A691" s="14" t="s">
        <v>437</v>
      </c>
      <c r="B691" s="14" t="s">
        <v>785</v>
      </c>
      <c r="C691" s="21">
        <v>6339</v>
      </c>
      <c r="D691" s="22">
        <v>45605</v>
      </c>
    </row>
    <row r="692" spans="1:4" x14ac:dyDescent="0.3">
      <c r="A692" s="14" t="s">
        <v>610</v>
      </c>
      <c r="B692" s="14" t="s">
        <v>784</v>
      </c>
      <c r="C692" s="21">
        <v>8327</v>
      </c>
      <c r="D692" s="22">
        <v>45605</v>
      </c>
    </row>
    <row r="693" spans="1:4" x14ac:dyDescent="0.3">
      <c r="A693" s="14" t="s">
        <v>320</v>
      </c>
      <c r="B693" s="14" t="s">
        <v>783</v>
      </c>
      <c r="C693" s="21">
        <v>5083</v>
      </c>
      <c r="D693" s="22">
        <v>45606</v>
      </c>
    </row>
    <row r="694" spans="1:4" x14ac:dyDescent="0.3">
      <c r="A694" s="14" t="s">
        <v>325</v>
      </c>
      <c r="B694" s="14" t="s">
        <v>787</v>
      </c>
      <c r="C694" s="21">
        <v>16355</v>
      </c>
      <c r="D694" s="22">
        <v>45606</v>
      </c>
    </row>
    <row r="695" spans="1:4" x14ac:dyDescent="0.3">
      <c r="A695" s="14" t="s">
        <v>776</v>
      </c>
      <c r="B695" s="14" t="s">
        <v>787</v>
      </c>
      <c r="C695" s="21">
        <v>14245</v>
      </c>
      <c r="D695" s="22">
        <v>45606</v>
      </c>
    </row>
    <row r="696" spans="1:4" x14ac:dyDescent="0.3">
      <c r="A696" s="14" t="s">
        <v>545</v>
      </c>
      <c r="B696" s="14" t="s">
        <v>784</v>
      </c>
      <c r="C696" s="21">
        <v>11247</v>
      </c>
      <c r="D696" s="22">
        <v>45606</v>
      </c>
    </row>
    <row r="697" spans="1:4" x14ac:dyDescent="0.3">
      <c r="A697" s="14" t="s">
        <v>322</v>
      </c>
      <c r="B697" s="14" t="s">
        <v>786</v>
      </c>
      <c r="C697" s="21">
        <v>9309</v>
      </c>
      <c r="D697" s="22">
        <v>45607</v>
      </c>
    </row>
    <row r="698" spans="1:4" x14ac:dyDescent="0.3">
      <c r="A698" s="14" t="s">
        <v>179</v>
      </c>
      <c r="B698" s="14" t="s">
        <v>785</v>
      </c>
      <c r="C698" s="21">
        <v>6668</v>
      </c>
      <c r="D698" s="22">
        <v>45608</v>
      </c>
    </row>
    <row r="699" spans="1:4" x14ac:dyDescent="0.3">
      <c r="A699" s="14" t="s">
        <v>666</v>
      </c>
      <c r="B699" s="14" t="s">
        <v>812</v>
      </c>
      <c r="C699" s="21">
        <v>14302</v>
      </c>
      <c r="D699" s="22">
        <v>45608</v>
      </c>
    </row>
    <row r="700" spans="1:4" x14ac:dyDescent="0.3">
      <c r="A700" s="14" t="s">
        <v>737</v>
      </c>
      <c r="B700" s="14" t="s">
        <v>787</v>
      </c>
      <c r="C700" s="21">
        <v>10159</v>
      </c>
      <c r="D700" s="22">
        <v>45608</v>
      </c>
    </row>
    <row r="701" spans="1:4" x14ac:dyDescent="0.3">
      <c r="A701" s="14" t="s">
        <v>557</v>
      </c>
      <c r="B701" s="14" t="s">
        <v>785</v>
      </c>
      <c r="C701" s="21">
        <v>12711</v>
      </c>
      <c r="D701" s="22">
        <v>45609</v>
      </c>
    </row>
    <row r="702" spans="1:4" x14ac:dyDescent="0.3">
      <c r="A702" s="14" t="s">
        <v>2</v>
      </c>
      <c r="B702" s="14" t="s">
        <v>783</v>
      </c>
      <c r="C702" s="21">
        <v>11915</v>
      </c>
      <c r="D702" s="22">
        <v>45609</v>
      </c>
    </row>
    <row r="703" spans="1:4" x14ac:dyDescent="0.3">
      <c r="A703" s="14" t="s">
        <v>272</v>
      </c>
      <c r="B703" s="14" t="s">
        <v>786</v>
      </c>
      <c r="C703" s="21">
        <v>7600</v>
      </c>
      <c r="D703" s="22">
        <v>45611</v>
      </c>
    </row>
    <row r="704" spans="1:4" x14ac:dyDescent="0.3">
      <c r="A704" s="14" t="s">
        <v>130</v>
      </c>
      <c r="B704" s="14" t="s">
        <v>812</v>
      </c>
      <c r="C704" s="21">
        <v>8982</v>
      </c>
      <c r="D704" s="22">
        <v>45611</v>
      </c>
    </row>
    <row r="705" spans="1:4" x14ac:dyDescent="0.3">
      <c r="A705" s="14" t="s">
        <v>580</v>
      </c>
      <c r="B705" s="14" t="s">
        <v>812</v>
      </c>
      <c r="C705" s="21">
        <v>6035</v>
      </c>
      <c r="D705" s="22">
        <v>45611</v>
      </c>
    </row>
    <row r="706" spans="1:4" x14ac:dyDescent="0.3">
      <c r="A706" s="14" t="s">
        <v>118</v>
      </c>
      <c r="B706" s="14" t="s">
        <v>787</v>
      </c>
      <c r="C706" s="21">
        <v>12176</v>
      </c>
      <c r="D706" s="22">
        <v>45611</v>
      </c>
    </row>
    <row r="707" spans="1:4" x14ac:dyDescent="0.3">
      <c r="A707" s="14" t="s">
        <v>518</v>
      </c>
      <c r="B707" s="14" t="s">
        <v>784</v>
      </c>
      <c r="C707" s="21">
        <v>15752</v>
      </c>
      <c r="D707" s="22">
        <v>45611</v>
      </c>
    </row>
    <row r="708" spans="1:4" x14ac:dyDescent="0.3">
      <c r="A708" s="14" t="s">
        <v>380</v>
      </c>
      <c r="B708" s="14" t="s">
        <v>787</v>
      </c>
      <c r="C708" s="21">
        <v>8690</v>
      </c>
      <c r="D708" s="22">
        <v>45612</v>
      </c>
    </row>
    <row r="709" spans="1:4" x14ac:dyDescent="0.3">
      <c r="A709" s="14" t="s">
        <v>339</v>
      </c>
      <c r="B709" s="14" t="s">
        <v>784</v>
      </c>
      <c r="C709" s="21">
        <v>13392</v>
      </c>
      <c r="D709" s="22">
        <v>45612</v>
      </c>
    </row>
    <row r="710" spans="1:4" x14ac:dyDescent="0.3">
      <c r="A710" s="14" t="s">
        <v>328</v>
      </c>
      <c r="B710" s="14" t="s">
        <v>812</v>
      </c>
      <c r="C710" s="21">
        <v>7279</v>
      </c>
      <c r="D710" s="22">
        <v>45613</v>
      </c>
    </row>
    <row r="711" spans="1:4" x14ac:dyDescent="0.3">
      <c r="A711" s="14" t="s">
        <v>509</v>
      </c>
      <c r="B711" s="14" t="s">
        <v>784</v>
      </c>
      <c r="C711" s="21">
        <v>9538</v>
      </c>
      <c r="D711" s="22">
        <v>45613</v>
      </c>
    </row>
    <row r="712" spans="1:4" x14ac:dyDescent="0.3">
      <c r="A712" s="14" t="s">
        <v>135</v>
      </c>
      <c r="B712" s="14" t="s">
        <v>784</v>
      </c>
      <c r="C712" s="21">
        <v>15445</v>
      </c>
      <c r="D712" s="22">
        <v>45613</v>
      </c>
    </row>
    <row r="713" spans="1:4" x14ac:dyDescent="0.3">
      <c r="A713" s="14" t="s">
        <v>308</v>
      </c>
      <c r="B713" s="14" t="s">
        <v>785</v>
      </c>
      <c r="C713" s="21">
        <v>9243</v>
      </c>
      <c r="D713" s="22">
        <v>45614</v>
      </c>
    </row>
    <row r="714" spans="1:4" x14ac:dyDescent="0.3">
      <c r="A714" s="14" t="s">
        <v>393</v>
      </c>
      <c r="B714" s="14" t="s">
        <v>787</v>
      </c>
      <c r="C714" s="21">
        <v>10350</v>
      </c>
      <c r="D714" s="22">
        <v>45614</v>
      </c>
    </row>
    <row r="715" spans="1:4" x14ac:dyDescent="0.3">
      <c r="A715" s="14" t="s">
        <v>614</v>
      </c>
      <c r="B715" s="14" t="s">
        <v>785</v>
      </c>
      <c r="C715" s="21">
        <v>5986</v>
      </c>
      <c r="D715" s="22">
        <v>45615</v>
      </c>
    </row>
    <row r="716" spans="1:4" x14ac:dyDescent="0.3">
      <c r="A716" s="14" t="s">
        <v>534</v>
      </c>
      <c r="B716" s="14" t="s">
        <v>786</v>
      </c>
      <c r="C716" s="21">
        <v>7650</v>
      </c>
      <c r="D716" s="22">
        <v>45615</v>
      </c>
    </row>
    <row r="717" spans="1:4" x14ac:dyDescent="0.3">
      <c r="A717" s="14" t="s">
        <v>430</v>
      </c>
      <c r="B717" s="14" t="s">
        <v>787</v>
      </c>
      <c r="C717" s="21">
        <v>15259</v>
      </c>
      <c r="D717" s="22">
        <v>45616</v>
      </c>
    </row>
    <row r="718" spans="1:4" x14ac:dyDescent="0.3">
      <c r="A718" s="14" t="s">
        <v>472</v>
      </c>
      <c r="B718" s="14" t="s">
        <v>784</v>
      </c>
      <c r="C718" s="21">
        <v>5195</v>
      </c>
      <c r="D718" s="22">
        <v>45616</v>
      </c>
    </row>
    <row r="719" spans="1:4" x14ac:dyDescent="0.3">
      <c r="A719" s="14" t="s">
        <v>550</v>
      </c>
      <c r="B719" s="14" t="s">
        <v>785</v>
      </c>
      <c r="C719" s="21">
        <v>9027</v>
      </c>
      <c r="D719" s="22">
        <v>45617</v>
      </c>
    </row>
    <row r="720" spans="1:4" x14ac:dyDescent="0.3">
      <c r="A720" s="14" t="s">
        <v>33</v>
      </c>
      <c r="B720" s="14" t="s">
        <v>785</v>
      </c>
      <c r="C720" s="21">
        <v>15818</v>
      </c>
      <c r="D720" s="22">
        <v>45617</v>
      </c>
    </row>
    <row r="721" spans="1:4" x14ac:dyDescent="0.3">
      <c r="A721" s="14" t="s">
        <v>684</v>
      </c>
      <c r="B721" s="14" t="s">
        <v>787</v>
      </c>
      <c r="C721" s="21">
        <v>15277</v>
      </c>
      <c r="D721" s="22">
        <v>45617</v>
      </c>
    </row>
    <row r="722" spans="1:4" x14ac:dyDescent="0.3">
      <c r="A722" s="14" t="s">
        <v>284</v>
      </c>
      <c r="B722" s="14" t="s">
        <v>784</v>
      </c>
      <c r="C722" s="21">
        <v>15309</v>
      </c>
      <c r="D722" s="22">
        <v>45618</v>
      </c>
    </row>
    <row r="723" spans="1:4" x14ac:dyDescent="0.3">
      <c r="A723" s="14" t="s">
        <v>190</v>
      </c>
      <c r="B723" s="14" t="s">
        <v>784</v>
      </c>
      <c r="C723" s="21">
        <v>6991</v>
      </c>
      <c r="D723" s="22">
        <v>45619</v>
      </c>
    </row>
    <row r="724" spans="1:4" x14ac:dyDescent="0.3">
      <c r="A724" s="14" t="s">
        <v>63</v>
      </c>
      <c r="B724" s="14" t="s">
        <v>787</v>
      </c>
      <c r="C724" s="21">
        <v>5569</v>
      </c>
      <c r="D724" s="22">
        <v>45621</v>
      </c>
    </row>
    <row r="725" spans="1:4" x14ac:dyDescent="0.3">
      <c r="A725" s="14" t="s">
        <v>623</v>
      </c>
      <c r="B725" s="14" t="s">
        <v>784</v>
      </c>
      <c r="C725" s="21">
        <v>7702</v>
      </c>
      <c r="D725" s="22">
        <v>45621</v>
      </c>
    </row>
    <row r="726" spans="1:4" x14ac:dyDescent="0.3">
      <c r="A726" s="14" t="s">
        <v>31</v>
      </c>
      <c r="B726" s="14" t="s">
        <v>787</v>
      </c>
      <c r="C726" s="21">
        <v>14914</v>
      </c>
      <c r="D726" s="22">
        <v>45622</v>
      </c>
    </row>
    <row r="727" spans="1:4" x14ac:dyDescent="0.3">
      <c r="A727" s="14" t="s">
        <v>739</v>
      </c>
      <c r="B727" s="14" t="s">
        <v>785</v>
      </c>
      <c r="C727" s="21">
        <v>8365</v>
      </c>
      <c r="D727" s="22">
        <v>45623</v>
      </c>
    </row>
    <row r="728" spans="1:4" x14ac:dyDescent="0.3">
      <c r="A728" s="14" t="s">
        <v>622</v>
      </c>
      <c r="B728" s="14" t="s">
        <v>783</v>
      </c>
      <c r="C728" s="21">
        <v>12973</v>
      </c>
      <c r="D728" s="22">
        <v>45623</v>
      </c>
    </row>
    <row r="729" spans="1:4" x14ac:dyDescent="0.3">
      <c r="A729" s="14" t="s">
        <v>197</v>
      </c>
      <c r="B729" s="14" t="s">
        <v>787</v>
      </c>
      <c r="C729" s="21">
        <v>8914</v>
      </c>
      <c r="D729" s="22">
        <v>45623</v>
      </c>
    </row>
    <row r="730" spans="1:4" x14ac:dyDescent="0.3">
      <c r="A730" s="14" t="s">
        <v>410</v>
      </c>
      <c r="B730" s="14" t="s">
        <v>787</v>
      </c>
      <c r="C730" s="21">
        <v>8432</v>
      </c>
      <c r="D730" s="22">
        <v>45623</v>
      </c>
    </row>
    <row r="731" spans="1:4" x14ac:dyDescent="0.3">
      <c r="A731" s="14" t="s">
        <v>385</v>
      </c>
      <c r="B731" s="14" t="s">
        <v>785</v>
      </c>
      <c r="C731" s="21">
        <v>15291</v>
      </c>
      <c r="D731" s="22">
        <v>45624</v>
      </c>
    </row>
    <row r="732" spans="1:4" x14ac:dyDescent="0.3">
      <c r="A732" s="14" t="s">
        <v>484</v>
      </c>
      <c r="B732" s="14" t="s">
        <v>786</v>
      </c>
      <c r="C732" s="21">
        <v>14371</v>
      </c>
      <c r="D732" s="22">
        <v>45624</v>
      </c>
    </row>
    <row r="733" spans="1:4" x14ac:dyDescent="0.3">
      <c r="A733" s="14" t="s">
        <v>673</v>
      </c>
      <c r="B733" s="14" t="s">
        <v>786</v>
      </c>
      <c r="C733" s="21">
        <v>15361</v>
      </c>
      <c r="D733" s="22">
        <v>45624</v>
      </c>
    </row>
    <row r="734" spans="1:4" x14ac:dyDescent="0.3">
      <c r="A734" s="14" t="s">
        <v>229</v>
      </c>
      <c r="B734" s="14" t="s">
        <v>787</v>
      </c>
      <c r="C734" s="21">
        <v>7296</v>
      </c>
      <c r="D734" s="22">
        <v>45624</v>
      </c>
    </row>
    <row r="735" spans="1:4" x14ac:dyDescent="0.3">
      <c r="A735" s="23" t="s">
        <v>745</v>
      </c>
      <c r="B735" s="14" t="s">
        <v>784</v>
      </c>
      <c r="C735" s="21">
        <v>8982</v>
      </c>
      <c r="D735" s="22">
        <v>45624</v>
      </c>
    </row>
    <row r="736" spans="1:4" x14ac:dyDescent="0.3">
      <c r="A736" s="14" t="s">
        <v>153</v>
      </c>
      <c r="B736" s="14" t="s">
        <v>787</v>
      </c>
      <c r="C736" s="21">
        <v>13663</v>
      </c>
      <c r="D736" s="22">
        <v>45625</v>
      </c>
    </row>
    <row r="737" spans="1:4" x14ac:dyDescent="0.3">
      <c r="A737" s="14" t="s">
        <v>265</v>
      </c>
      <c r="B737" s="14" t="s">
        <v>787</v>
      </c>
      <c r="C737" s="21">
        <v>9008</v>
      </c>
      <c r="D737" s="22">
        <v>45625</v>
      </c>
    </row>
    <row r="738" spans="1:4" x14ac:dyDescent="0.3">
      <c r="A738" s="14" t="s">
        <v>433</v>
      </c>
      <c r="B738" s="14" t="s">
        <v>784</v>
      </c>
      <c r="C738" s="21">
        <v>6143</v>
      </c>
      <c r="D738" s="22">
        <v>45625</v>
      </c>
    </row>
    <row r="739" spans="1:4" x14ac:dyDescent="0.3">
      <c r="A739" s="14" t="s">
        <v>285</v>
      </c>
      <c r="B739" s="14" t="s">
        <v>812</v>
      </c>
      <c r="C739" s="21">
        <v>12102</v>
      </c>
      <c r="D739" s="22">
        <v>45626</v>
      </c>
    </row>
    <row r="740" spans="1:4" x14ac:dyDescent="0.3">
      <c r="A740" s="14" t="s">
        <v>355</v>
      </c>
      <c r="B740" s="14" t="s">
        <v>785</v>
      </c>
      <c r="C740" s="21">
        <v>10893</v>
      </c>
      <c r="D740" s="22">
        <v>45627</v>
      </c>
    </row>
    <row r="741" spans="1:4" x14ac:dyDescent="0.3">
      <c r="A741" s="14" t="s">
        <v>732</v>
      </c>
      <c r="B741" s="14" t="s">
        <v>787</v>
      </c>
      <c r="C741" s="21">
        <v>8387</v>
      </c>
      <c r="D741" s="22">
        <v>45628</v>
      </c>
    </row>
    <row r="742" spans="1:4" x14ac:dyDescent="0.3">
      <c r="A742" s="14" t="s">
        <v>281</v>
      </c>
      <c r="B742" s="14" t="s">
        <v>785</v>
      </c>
      <c r="C742" s="21">
        <v>12853</v>
      </c>
      <c r="D742" s="22">
        <v>45631</v>
      </c>
    </row>
    <row r="743" spans="1:4" x14ac:dyDescent="0.3">
      <c r="A743" s="14" t="s">
        <v>700</v>
      </c>
      <c r="B743" s="14" t="s">
        <v>786</v>
      </c>
      <c r="C743" s="21">
        <v>8941</v>
      </c>
      <c r="D743" s="22">
        <v>45631</v>
      </c>
    </row>
    <row r="744" spans="1:4" x14ac:dyDescent="0.3">
      <c r="A744" s="14" t="s">
        <v>679</v>
      </c>
      <c r="B744" s="14" t="s">
        <v>783</v>
      </c>
      <c r="C744" s="21">
        <v>11583</v>
      </c>
      <c r="D744" s="22">
        <v>45631</v>
      </c>
    </row>
    <row r="745" spans="1:4" x14ac:dyDescent="0.3">
      <c r="A745" s="14" t="s">
        <v>160</v>
      </c>
      <c r="B745" s="14" t="s">
        <v>787</v>
      </c>
      <c r="C745" s="21">
        <v>6451</v>
      </c>
      <c r="D745" s="22">
        <v>45631</v>
      </c>
    </row>
    <row r="746" spans="1:4" x14ac:dyDescent="0.3">
      <c r="A746" s="14" t="s">
        <v>262</v>
      </c>
      <c r="B746" s="14" t="s">
        <v>784</v>
      </c>
      <c r="C746" s="21">
        <v>8689</v>
      </c>
      <c r="D746" s="22">
        <v>45631</v>
      </c>
    </row>
    <row r="747" spans="1:4" x14ac:dyDescent="0.3">
      <c r="A747" s="14" t="s">
        <v>475</v>
      </c>
      <c r="B747" s="14" t="s">
        <v>785</v>
      </c>
      <c r="C747" s="21">
        <v>12257</v>
      </c>
      <c r="D747" s="22">
        <v>45632</v>
      </c>
    </row>
    <row r="748" spans="1:4" x14ac:dyDescent="0.3">
      <c r="A748" s="14" t="s">
        <v>67</v>
      </c>
      <c r="B748" s="14" t="s">
        <v>787</v>
      </c>
      <c r="C748" s="21">
        <v>16383</v>
      </c>
      <c r="D748" s="22">
        <v>45632</v>
      </c>
    </row>
    <row r="749" spans="1:4" x14ac:dyDescent="0.3">
      <c r="A749" s="14" t="s">
        <v>574</v>
      </c>
      <c r="B749" s="14" t="s">
        <v>785</v>
      </c>
      <c r="C749" s="21">
        <v>9413</v>
      </c>
      <c r="D749" s="22">
        <v>45633</v>
      </c>
    </row>
    <row r="750" spans="1:4" x14ac:dyDescent="0.3">
      <c r="A750" s="14" t="s">
        <v>653</v>
      </c>
      <c r="B750" s="14" t="s">
        <v>786</v>
      </c>
      <c r="C750" s="21">
        <v>13252</v>
      </c>
      <c r="D750" s="22">
        <v>45633</v>
      </c>
    </row>
    <row r="751" spans="1:4" x14ac:dyDescent="0.3">
      <c r="A751" s="14" t="s">
        <v>294</v>
      </c>
      <c r="B751" s="14" t="s">
        <v>787</v>
      </c>
      <c r="C751" s="21">
        <v>5907</v>
      </c>
      <c r="D751" s="22">
        <v>45636</v>
      </c>
    </row>
    <row r="752" spans="1:4" x14ac:dyDescent="0.3">
      <c r="A752" s="14" t="s">
        <v>218</v>
      </c>
      <c r="B752" s="14" t="s">
        <v>784</v>
      </c>
      <c r="C752" s="21">
        <v>8449</v>
      </c>
      <c r="D752" s="22">
        <v>45636</v>
      </c>
    </row>
    <row r="753" spans="1:4" x14ac:dyDescent="0.3">
      <c r="A753" s="23" t="s">
        <v>810</v>
      </c>
      <c r="B753" s="14" t="s">
        <v>783</v>
      </c>
      <c r="C753" s="21">
        <v>13872</v>
      </c>
      <c r="D753" s="22">
        <v>45637</v>
      </c>
    </row>
    <row r="754" spans="1:4" x14ac:dyDescent="0.3">
      <c r="A754" s="14" t="s">
        <v>611</v>
      </c>
      <c r="B754" s="14" t="s">
        <v>786</v>
      </c>
      <c r="C754" s="21">
        <v>10447</v>
      </c>
      <c r="D754" s="22">
        <v>45638</v>
      </c>
    </row>
    <row r="755" spans="1:4" x14ac:dyDescent="0.3">
      <c r="A755" s="14" t="s">
        <v>823</v>
      </c>
      <c r="B755" s="14" t="s">
        <v>824</v>
      </c>
      <c r="C755" s="21">
        <v>12386</v>
      </c>
      <c r="D755" s="22">
        <v>45638</v>
      </c>
    </row>
    <row r="756" spans="1:4" x14ac:dyDescent="0.3">
      <c r="A756" s="14" t="s">
        <v>636</v>
      </c>
      <c r="B756" s="14" t="s">
        <v>784</v>
      </c>
      <c r="C756" s="21">
        <v>8291</v>
      </c>
      <c r="D756" s="22">
        <v>45638</v>
      </c>
    </row>
    <row r="757" spans="1:4" x14ac:dyDescent="0.3">
      <c r="A757" s="14" t="s">
        <v>494</v>
      </c>
      <c r="B757" s="14" t="s">
        <v>785</v>
      </c>
      <c r="C757" s="21">
        <v>12720</v>
      </c>
      <c r="D757" s="22">
        <v>45639</v>
      </c>
    </row>
    <row r="758" spans="1:4" x14ac:dyDescent="0.3">
      <c r="A758" s="14" t="s">
        <v>259</v>
      </c>
      <c r="B758" s="14" t="s">
        <v>783</v>
      </c>
      <c r="C758" s="21">
        <v>16189</v>
      </c>
      <c r="D758" s="22">
        <v>45639</v>
      </c>
    </row>
    <row r="759" spans="1:4" x14ac:dyDescent="0.3">
      <c r="A759" s="23" t="s">
        <v>811</v>
      </c>
      <c r="B759" s="14" t="s">
        <v>786</v>
      </c>
      <c r="C759" s="21">
        <v>11085</v>
      </c>
      <c r="D759" s="22">
        <v>45640</v>
      </c>
    </row>
    <row r="760" spans="1:4" x14ac:dyDescent="0.3">
      <c r="A760" s="14" t="s">
        <v>709</v>
      </c>
      <c r="B760" s="14" t="s">
        <v>785</v>
      </c>
      <c r="C760" s="21">
        <v>14443</v>
      </c>
      <c r="D760" s="22">
        <v>45641</v>
      </c>
    </row>
    <row r="761" spans="1:4" x14ac:dyDescent="0.3">
      <c r="A761" s="14" t="s">
        <v>316</v>
      </c>
      <c r="B761" s="14" t="s">
        <v>785</v>
      </c>
      <c r="C761" s="21">
        <v>10456</v>
      </c>
      <c r="D761" s="22">
        <v>45642</v>
      </c>
    </row>
    <row r="762" spans="1:4" x14ac:dyDescent="0.3">
      <c r="A762" s="14" t="s">
        <v>577</v>
      </c>
      <c r="B762" s="14" t="s">
        <v>787</v>
      </c>
      <c r="C762" s="21">
        <v>6252</v>
      </c>
      <c r="D762" s="22">
        <v>45642</v>
      </c>
    </row>
    <row r="763" spans="1:4" x14ac:dyDescent="0.3">
      <c r="A763" s="14" t="s">
        <v>224</v>
      </c>
      <c r="B763" s="14" t="s">
        <v>787</v>
      </c>
      <c r="C763" s="21">
        <v>16694</v>
      </c>
      <c r="D763" s="22">
        <v>45642</v>
      </c>
    </row>
    <row r="764" spans="1:4" x14ac:dyDescent="0.3">
      <c r="A764" s="14" t="s">
        <v>367</v>
      </c>
      <c r="B764" s="14" t="s">
        <v>787</v>
      </c>
      <c r="C764" s="21">
        <v>11675</v>
      </c>
      <c r="D764" s="22">
        <v>45642</v>
      </c>
    </row>
    <row r="765" spans="1:4" x14ac:dyDescent="0.3">
      <c r="A765" s="14" t="s">
        <v>90</v>
      </c>
      <c r="B765" s="14" t="s">
        <v>785</v>
      </c>
      <c r="C765" s="21">
        <v>5353</v>
      </c>
      <c r="D765" s="22">
        <v>45643</v>
      </c>
    </row>
    <row r="766" spans="1:4" x14ac:dyDescent="0.3">
      <c r="A766" s="14" t="s">
        <v>343</v>
      </c>
      <c r="B766" s="14" t="s">
        <v>783</v>
      </c>
      <c r="C766" s="21">
        <v>9211</v>
      </c>
      <c r="D766" s="22">
        <v>45643</v>
      </c>
    </row>
    <row r="767" spans="1:4" x14ac:dyDescent="0.3">
      <c r="A767" s="14" t="s">
        <v>89</v>
      </c>
      <c r="B767" s="14" t="s">
        <v>783</v>
      </c>
      <c r="C767" s="21">
        <v>14793</v>
      </c>
      <c r="D767" s="22">
        <v>45643</v>
      </c>
    </row>
    <row r="768" spans="1:4" x14ac:dyDescent="0.3">
      <c r="A768" s="14" t="s">
        <v>507</v>
      </c>
      <c r="B768" s="14" t="s">
        <v>787</v>
      </c>
      <c r="C768" s="21">
        <v>15824</v>
      </c>
      <c r="D768" s="22">
        <v>45644</v>
      </c>
    </row>
    <row r="769" spans="1:4" x14ac:dyDescent="0.3">
      <c r="A769" s="14" t="s">
        <v>465</v>
      </c>
      <c r="B769" s="14" t="s">
        <v>786</v>
      </c>
      <c r="C769" s="21">
        <v>14600</v>
      </c>
      <c r="D769" s="22">
        <v>45645</v>
      </c>
    </row>
  </sheetData>
  <sortState xmlns:xlrd2="http://schemas.microsoft.com/office/spreadsheetml/2017/richdata2" ref="A2:D769">
    <sortCondition ref="D346"/>
  </sortState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FFFF"/>
  </sheetPr>
  <dimension ref="A1:R501"/>
  <sheetViews>
    <sheetView zoomScale="145" zoomScaleNormal="145" zoomScalePageLayoutView="130" workbookViewId="0">
      <selection activeCell="P2" sqref="P2:Q4"/>
    </sheetView>
  </sheetViews>
  <sheetFormatPr defaultColWidth="9.109375" defaultRowHeight="14.4" x14ac:dyDescent="0.3"/>
  <cols>
    <col min="1" max="1" width="3.33203125" style="14" bestFit="1" customWidth="1"/>
    <col min="2" max="2" width="6.5546875" style="14" bestFit="1" customWidth="1"/>
    <col min="3" max="7" width="6.33203125" style="14" customWidth="1"/>
    <col min="8" max="14" width="1.88671875" style="14" customWidth="1"/>
    <col min="15" max="15" width="7.44140625" style="14" bestFit="1" customWidth="1"/>
    <col min="16" max="16" width="5.44140625" style="24" customWidth="1"/>
    <col min="17" max="17" width="4.5546875" style="24" customWidth="1"/>
    <col min="18" max="18" width="14.33203125" style="24" customWidth="1"/>
    <col min="19" max="16384" width="9.109375" style="14"/>
  </cols>
  <sheetData>
    <row r="1" spans="1:18" x14ac:dyDescent="0.3">
      <c r="A1" s="24"/>
      <c r="B1" s="25"/>
      <c r="C1" s="42" t="s">
        <v>847</v>
      </c>
      <c r="D1" s="42"/>
      <c r="E1" s="42"/>
      <c r="F1" s="42"/>
      <c r="G1" s="42"/>
      <c r="H1" s="25"/>
      <c r="I1" s="25"/>
      <c r="O1" s="26" t="s">
        <v>757</v>
      </c>
      <c r="P1" s="27" t="s">
        <v>846</v>
      </c>
      <c r="Q1" s="26" t="s">
        <v>758</v>
      </c>
      <c r="R1" s="19" t="s">
        <v>759</v>
      </c>
    </row>
    <row r="2" spans="1:18" x14ac:dyDescent="0.3">
      <c r="A2" s="24"/>
      <c r="B2" s="25"/>
      <c r="C2" s="28" t="s">
        <v>833</v>
      </c>
      <c r="D2" s="28" t="s">
        <v>834</v>
      </c>
      <c r="E2" s="28" t="s">
        <v>835</v>
      </c>
      <c r="F2" s="28" t="s">
        <v>836</v>
      </c>
      <c r="G2" s="28" t="s">
        <v>837</v>
      </c>
      <c r="H2" s="25"/>
      <c r="I2" s="25"/>
      <c r="O2" s="14" t="s">
        <v>1209</v>
      </c>
      <c r="P2" s="24">
        <v>5</v>
      </c>
      <c r="Q2" s="24">
        <v>3</v>
      </c>
      <c r="R2" s="25" cm="1">
        <f t="array" ref="R2">INDEX($C$3:$G$10,P2,Q2)</f>
        <v>23.6</v>
      </c>
    </row>
    <row r="3" spans="1:18" ht="15" customHeight="1" x14ac:dyDescent="0.3">
      <c r="A3" s="48" t="s">
        <v>848</v>
      </c>
      <c r="B3" s="30" t="s">
        <v>838</v>
      </c>
      <c r="C3" s="25">
        <v>13.129999999999999</v>
      </c>
      <c r="D3" s="25">
        <v>11.18</v>
      </c>
      <c r="E3" s="25">
        <v>14.47</v>
      </c>
      <c r="F3" s="25">
        <v>18.25</v>
      </c>
      <c r="G3" s="25">
        <v>19.18</v>
      </c>
      <c r="H3" s="25"/>
      <c r="I3" s="25"/>
      <c r="O3" s="14" t="s">
        <v>1264</v>
      </c>
      <c r="P3" s="24">
        <v>7</v>
      </c>
      <c r="Q3" s="24">
        <v>1</v>
      </c>
      <c r="R3" s="25" cm="1">
        <f t="array" ref="R3">INDEX($C$3:$G$10,P3,Q3)</f>
        <v>23.99</v>
      </c>
    </row>
    <row r="4" spans="1:18" x14ac:dyDescent="0.3">
      <c r="A4" s="49"/>
      <c r="B4" s="30" t="s">
        <v>839</v>
      </c>
      <c r="C4" s="25">
        <v>14.51</v>
      </c>
      <c r="D4" s="25">
        <v>14.8</v>
      </c>
      <c r="E4" s="25">
        <v>15.32</v>
      </c>
      <c r="F4" s="25">
        <v>17.53</v>
      </c>
      <c r="G4" s="25">
        <v>21.59</v>
      </c>
      <c r="H4" s="25"/>
      <c r="I4" s="25"/>
      <c r="O4" s="14" t="s">
        <v>1137</v>
      </c>
      <c r="P4" s="24">
        <v>6</v>
      </c>
      <c r="Q4" s="24">
        <v>4</v>
      </c>
      <c r="R4" s="25" cm="1">
        <f t="array" ref="R4">INDEX($C$3:$G$10,P4,Q4)</f>
        <v>31.92</v>
      </c>
    </row>
    <row r="5" spans="1:18" x14ac:dyDescent="0.3">
      <c r="A5" s="49"/>
      <c r="B5" s="30" t="s">
        <v>840</v>
      </c>
      <c r="C5" s="25">
        <v>16.2</v>
      </c>
      <c r="D5" s="25">
        <v>17.72</v>
      </c>
      <c r="E5" s="25">
        <v>17.600000000000001</v>
      </c>
      <c r="F5" s="25">
        <v>21.2</v>
      </c>
      <c r="G5" s="25">
        <v>24.52</v>
      </c>
      <c r="H5" s="25"/>
      <c r="I5" s="25"/>
      <c r="O5" s="14" t="s">
        <v>1094</v>
      </c>
      <c r="P5" s="24">
        <v>5</v>
      </c>
      <c r="Q5" s="24">
        <v>2</v>
      </c>
      <c r="R5" s="25" cm="1">
        <f t="array" ref="R5">INDEX($C$3:$G$10,P5,Q5)</f>
        <v>19.86</v>
      </c>
    </row>
    <row r="6" spans="1:18" x14ac:dyDescent="0.3">
      <c r="A6" s="49"/>
      <c r="B6" s="30" t="s">
        <v>841</v>
      </c>
      <c r="C6" s="25">
        <v>16.18</v>
      </c>
      <c r="D6" s="25">
        <v>17.060000000000002</v>
      </c>
      <c r="E6" s="25">
        <v>21.34</v>
      </c>
      <c r="F6" s="25">
        <v>23.4</v>
      </c>
      <c r="G6" s="25">
        <v>23.99</v>
      </c>
      <c r="H6" s="25"/>
      <c r="I6" s="25"/>
      <c r="O6" s="14" t="s">
        <v>1131</v>
      </c>
      <c r="P6" s="24">
        <v>3</v>
      </c>
      <c r="Q6" s="24">
        <v>1</v>
      </c>
      <c r="R6" s="25" cm="1">
        <f t="array" ref="R6">INDEX($C$3:$G$10,P6,Q6)</f>
        <v>16.2</v>
      </c>
    </row>
    <row r="7" spans="1:18" x14ac:dyDescent="0.3">
      <c r="A7" s="49"/>
      <c r="B7" s="30" t="s">
        <v>842</v>
      </c>
      <c r="C7" s="25">
        <v>18.59</v>
      </c>
      <c r="D7" s="25">
        <v>19.86</v>
      </c>
      <c r="E7" s="25">
        <v>23.6</v>
      </c>
      <c r="F7" s="25">
        <v>30.27</v>
      </c>
      <c r="G7" s="25">
        <v>28.18</v>
      </c>
      <c r="H7" s="25"/>
      <c r="I7" s="25"/>
      <c r="O7" s="14" t="s">
        <v>1035</v>
      </c>
      <c r="P7" s="24">
        <v>8</v>
      </c>
      <c r="Q7" s="24">
        <v>3</v>
      </c>
      <c r="R7" s="25" cm="1">
        <f t="array" ref="R7">INDEX($C$3:$G$10,P7,Q7)</f>
        <v>38.79</v>
      </c>
    </row>
    <row r="8" spans="1:18" x14ac:dyDescent="0.3">
      <c r="A8" s="49"/>
      <c r="B8" s="30" t="s">
        <v>843</v>
      </c>
      <c r="C8" s="25">
        <v>21.52</v>
      </c>
      <c r="D8" s="25">
        <v>24.2</v>
      </c>
      <c r="E8" s="25">
        <v>28.53</v>
      </c>
      <c r="F8" s="25">
        <v>31.92</v>
      </c>
      <c r="G8" s="25">
        <v>37.200000000000003</v>
      </c>
      <c r="H8" s="25"/>
      <c r="I8" s="25"/>
      <c r="O8" s="14" t="s">
        <v>1203</v>
      </c>
      <c r="P8" s="24">
        <v>8</v>
      </c>
      <c r="Q8" s="24">
        <v>1</v>
      </c>
      <c r="R8" s="25" cm="1">
        <f t="array" ref="R8">INDEX($C$3:$G$10,P8,Q8)</f>
        <v>31.18</v>
      </c>
    </row>
    <row r="9" spans="1:18" x14ac:dyDescent="0.3">
      <c r="A9" s="49"/>
      <c r="B9" s="30" t="s">
        <v>844</v>
      </c>
      <c r="C9" s="25">
        <v>23.99</v>
      </c>
      <c r="D9" s="25">
        <v>28.19</v>
      </c>
      <c r="E9" s="25">
        <v>35.18</v>
      </c>
      <c r="F9" s="25">
        <v>36.53</v>
      </c>
      <c r="G9" s="25">
        <v>41.2</v>
      </c>
      <c r="H9" s="25"/>
      <c r="I9" s="25"/>
      <c r="O9" s="14" t="s">
        <v>1144</v>
      </c>
      <c r="P9" s="24">
        <v>3</v>
      </c>
      <c r="Q9" s="24">
        <v>1</v>
      </c>
      <c r="R9" s="25" cm="1">
        <f t="array" ref="R9">INDEX($C$3:$G$10,P9,Q9)</f>
        <v>16.2</v>
      </c>
    </row>
    <row r="10" spans="1:18" x14ac:dyDescent="0.3">
      <c r="A10" s="50"/>
      <c r="B10" s="30" t="s">
        <v>845</v>
      </c>
      <c r="C10" s="25">
        <v>31.18</v>
      </c>
      <c r="D10" s="25">
        <v>34.97</v>
      </c>
      <c r="E10" s="25">
        <v>38.79</v>
      </c>
      <c r="F10" s="25">
        <v>47.19</v>
      </c>
      <c r="G10" s="25">
        <v>47.4</v>
      </c>
      <c r="H10" s="25"/>
      <c r="I10" s="25"/>
      <c r="O10" s="14" t="s">
        <v>1142</v>
      </c>
      <c r="P10" s="24">
        <v>2</v>
      </c>
      <c r="Q10" s="24">
        <v>5</v>
      </c>
      <c r="R10" s="25" cm="1">
        <f t="array" ref="R10">INDEX($C$3:$G$10,P10,Q10)</f>
        <v>21.59</v>
      </c>
    </row>
    <row r="11" spans="1:18" x14ac:dyDescent="0.3">
      <c r="C11" s="24"/>
      <c r="D11" s="24"/>
      <c r="E11" s="25"/>
      <c r="F11" s="29"/>
      <c r="O11" s="14" t="s">
        <v>977</v>
      </c>
      <c r="P11" s="24">
        <v>5</v>
      </c>
      <c r="Q11" s="24">
        <v>3</v>
      </c>
      <c r="R11" s="25" cm="1">
        <f t="array" ref="R11">INDEX($C$3:$G$10,P11,Q11)</f>
        <v>23.6</v>
      </c>
    </row>
    <row r="12" spans="1:18" x14ac:dyDescent="0.3">
      <c r="C12" s="43"/>
      <c r="D12" s="43"/>
      <c r="E12" s="25"/>
      <c r="F12" s="29"/>
      <c r="G12" s="29"/>
      <c r="O12" s="14" t="s">
        <v>1187</v>
      </c>
      <c r="P12" s="24">
        <v>7</v>
      </c>
      <c r="Q12" s="24">
        <v>2</v>
      </c>
      <c r="R12" s="25" cm="1">
        <f t="array" ref="R12">INDEX($C$3:$G$10,P12,Q12)</f>
        <v>28.19</v>
      </c>
    </row>
    <row r="13" spans="1:18" x14ac:dyDescent="0.3">
      <c r="C13" s="43"/>
      <c r="D13" s="43"/>
      <c r="E13" s="25"/>
      <c r="F13" s="29"/>
      <c r="G13" s="29"/>
      <c r="O13" s="14" t="s">
        <v>1284</v>
      </c>
      <c r="P13" s="24">
        <v>7</v>
      </c>
      <c r="Q13" s="24">
        <v>5</v>
      </c>
      <c r="R13" s="25" cm="1">
        <f t="array" ref="R13">INDEX($C$3:$G$10,P13,Q13)</f>
        <v>41.2</v>
      </c>
    </row>
    <row r="14" spans="1:18" ht="15" customHeight="1" x14ac:dyDescent="0.3">
      <c r="C14" s="43"/>
      <c r="D14" s="43"/>
      <c r="E14" s="25"/>
      <c r="F14" s="29"/>
      <c r="G14" s="29"/>
      <c r="K14" s="31"/>
      <c r="L14" s="31"/>
      <c r="M14" s="31"/>
      <c r="N14" s="31"/>
      <c r="O14" s="14" t="s">
        <v>1300</v>
      </c>
      <c r="P14" s="24">
        <v>3</v>
      </c>
      <c r="Q14" s="24">
        <v>4</v>
      </c>
      <c r="R14" s="25" cm="1">
        <f t="array" ref="R14">INDEX($C$3:$G$10,P14,Q14)</f>
        <v>21.2</v>
      </c>
    </row>
    <row r="15" spans="1:18" x14ac:dyDescent="0.3">
      <c r="C15" s="43"/>
      <c r="D15" s="43"/>
      <c r="E15" s="25"/>
      <c r="F15" s="29"/>
      <c r="G15" s="29"/>
      <c r="K15" s="31"/>
      <c r="L15" s="31"/>
      <c r="M15" s="31"/>
      <c r="N15" s="31"/>
      <c r="O15" s="14" t="s">
        <v>882</v>
      </c>
      <c r="P15" s="24">
        <v>2</v>
      </c>
      <c r="Q15" s="24">
        <v>3</v>
      </c>
      <c r="R15" s="25" cm="1">
        <f t="array" ref="R15">INDEX($C$3:$G$10,P15,Q15)</f>
        <v>15.32</v>
      </c>
    </row>
    <row r="16" spans="1:18" x14ac:dyDescent="0.3">
      <c r="C16" s="43"/>
      <c r="D16" s="43"/>
      <c r="E16" s="25"/>
      <c r="F16" s="29"/>
      <c r="G16" s="29"/>
      <c r="K16" s="31"/>
      <c r="L16" s="31"/>
      <c r="M16" s="31"/>
      <c r="N16" s="31"/>
      <c r="O16" s="14" t="s">
        <v>1165</v>
      </c>
      <c r="P16" s="24">
        <v>3</v>
      </c>
      <c r="Q16" s="24">
        <v>5</v>
      </c>
      <c r="R16" s="25" cm="1">
        <f t="array" ref="R16">INDEX($C$3:$G$10,P16,Q16)</f>
        <v>24.52</v>
      </c>
    </row>
    <row r="17" spans="3:18" x14ac:dyDescent="0.3">
      <c r="C17" s="43"/>
      <c r="D17" s="43"/>
      <c r="E17" s="25"/>
      <c r="F17" s="29"/>
      <c r="G17" s="29"/>
      <c r="K17" s="31"/>
      <c r="L17" s="31"/>
      <c r="M17" s="31"/>
      <c r="N17" s="31"/>
      <c r="O17" s="14" t="s">
        <v>1022</v>
      </c>
      <c r="P17" s="24">
        <v>7</v>
      </c>
      <c r="Q17" s="24">
        <v>1</v>
      </c>
      <c r="R17" s="25" cm="1">
        <f t="array" ref="R17">INDEX($C$3:$G$10,P17,Q17)</f>
        <v>23.99</v>
      </c>
    </row>
    <row r="18" spans="3:18" x14ac:dyDescent="0.3">
      <c r="C18" s="43"/>
      <c r="D18" s="43"/>
      <c r="E18" s="25"/>
      <c r="F18" s="29"/>
      <c r="G18" s="29"/>
      <c r="K18" s="31"/>
      <c r="L18" s="31"/>
      <c r="M18" s="31"/>
      <c r="N18" s="31"/>
      <c r="O18" s="14" t="s">
        <v>921</v>
      </c>
      <c r="P18" s="24">
        <v>5</v>
      </c>
      <c r="Q18" s="24">
        <v>4</v>
      </c>
      <c r="R18" s="25" cm="1">
        <f t="array" ref="R18">INDEX($C$3:$G$10,P18,Q18)</f>
        <v>30.27</v>
      </c>
    </row>
    <row r="19" spans="3:18" x14ac:dyDescent="0.3">
      <c r="C19" s="43"/>
      <c r="D19" s="43"/>
      <c r="E19" s="25"/>
      <c r="F19" s="29"/>
      <c r="G19" s="29"/>
      <c r="O19" s="14" t="s">
        <v>1033</v>
      </c>
      <c r="P19" s="24">
        <v>1</v>
      </c>
      <c r="Q19" s="24">
        <v>2</v>
      </c>
      <c r="R19" s="25" cm="1">
        <f t="array" ref="R19">INDEX($C$3:$G$10,P19,Q19)</f>
        <v>11.18</v>
      </c>
    </row>
    <row r="20" spans="3:18" x14ac:dyDescent="0.3">
      <c r="C20" s="43"/>
      <c r="D20" s="43"/>
      <c r="E20" s="25"/>
      <c r="F20" s="29"/>
      <c r="G20" s="29"/>
      <c r="O20" s="14" t="s">
        <v>1215</v>
      </c>
      <c r="P20" s="24">
        <v>2</v>
      </c>
      <c r="Q20" s="24">
        <v>5</v>
      </c>
      <c r="R20" s="25" cm="1">
        <f t="array" ref="R20">INDEX($C$3:$G$10,P20,Q20)</f>
        <v>21.59</v>
      </c>
    </row>
    <row r="21" spans="3:18" x14ac:dyDescent="0.3">
      <c r="C21" s="25"/>
      <c r="O21" s="14" t="s">
        <v>901</v>
      </c>
      <c r="P21" s="24">
        <v>2</v>
      </c>
      <c r="Q21" s="24">
        <v>2</v>
      </c>
      <c r="R21" s="25" cm="1">
        <f t="array" ref="R21">INDEX($C$3:$G$10,P21,Q21)</f>
        <v>14.8</v>
      </c>
    </row>
    <row r="22" spans="3:18" x14ac:dyDescent="0.3">
      <c r="C22" s="25"/>
      <c r="O22" s="14" t="s">
        <v>1180</v>
      </c>
      <c r="P22" s="24">
        <v>1</v>
      </c>
      <c r="Q22" s="24">
        <v>2</v>
      </c>
      <c r="R22" s="25" cm="1">
        <f t="array" ref="R22">INDEX($C$3:$G$10,P22,Q22)</f>
        <v>11.18</v>
      </c>
    </row>
    <row r="23" spans="3:18" x14ac:dyDescent="0.3">
      <c r="C23" s="25"/>
      <c r="O23" s="14" t="s">
        <v>1346</v>
      </c>
      <c r="P23" s="24">
        <v>6</v>
      </c>
      <c r="Q23" s="24">
        <v>1</v>
      </c>
      <c r="R23" s="25" cm="1">
        <f t="array" ref="R23">INDEX($C$3:$G$10,P23,Q23)</f>
        <v>21.52</v>
      </c>
    </row>
    <row r="24" spans="3:18" x14ac:dyDescent="0.3">
      <c r="C24" s="25"/>
      <c r="O24" s="14" t="s">
        <v>1000</v>
      </c>
      <c r="P24" s="24">
        <v>2</v>
      </c>
      <c r="Q24" s="24">
        <v>2</v>
      </c>
      <c r="R24" s="25" cm="1">
        <f t="array" ref="R24">INDEX($C$3:$G$10,P24,Q24)</f>
        <v>14.8</v>
      </c>
    </row>
    <row r="25" spans="3:18" x14ac:dyDescent="0.3">
      <c r="C25" s="25"/>
      <c r="O25" s="14" t="s">
        <v>1030</v>
      </c>
      <c r="P25" s="24">
        <v>5</v>
      </c>
      <c r="Q25" s="24">
        <v>3</v>
      </c>
      <c r="R25" s="25" cm="1">
        <f t="array" ref="R25">INDEX($C$3:$G$10,P25,Q25)</f>
        <v>23.6</v>
      </c>
    </row>
    <row r="26" spans="3:18" x14ac:dyDescent="0.3">
      <c r="C26" s="25"/>
      <c r="O26" s="14" t="s">
        <v>1225</v>
      </c>
      <c r="P26" s="24">
        <v>6</v>
      </c>
      <c r="Q26" s="24">
        <v>5</v>
      </c>
      <c r="R26" s="25" cm="1">
        <f t="array" ref="R26">INDEX($C$3:$G$10,P26,Q26)</f>
        <v>37.200000000000003</v>
      </c>
    </row>
    <row r="27" spans="3:18" x14ac:dyDescent="0.3">
      <c r="C27" s="25"/>
      <c r="O27" s="14" t="s">
        <v>1170</v>
      </c>
      <c r="P27" s="24">
        <v>5</v>
      </c>
      <c r="Q27" s="24">
        <v>5</v>
      </c>
      <c r="R27" s="25" cm="1">
        <f t="array" ref="R27">INDEX($C$3:$G$10,P27,Q27)</f>
        <v>28.18</v>
      </c>
    </row>
    <row r="28" spans="3:18" x14ac:dyDescent="0.3">
      <c r="C28" s="25"/>
      <c r="O28" s="14" t="s">
        <v>1081</v>
      </c>
      <c r="P28" s="24">
        <v>6</v>
      </c>
      <c r="Q28" s="24">
        <v>4</v>
      </c>
      <c r="R28" s="25" cm="1">
        <f t="array" ref="R28">INDEX($C$3:$G$10,P28,Q28)</f>
        <v>31.92</v>
      </c>
    </row>
    <row r="29" spans="3:18" x14ac:dyDescent="0.3">
      <c r="C29" s="25"/>
      <c r="O29" s="14" t="s">
        <v>1107</v>
      </c>
      <c r="P29" s="24">
        <v>6</v>
      </c>
      <c r="Q29" s="24">
        <v>1</v>
      </c>
      <c r="R29" s="25" cm="1">
        <f t="array" ref="R29">INDEX($C$3:$G$10,P29,Q29)</f>
        <v>21.52</v>
      </c>
    </row>
    <row r="30" spans="3:18" x14ac:dyDescent="0.3">
      <c r="C30" s="25"/>
      <c r="O30" s="14" t="s">
        <v>1063</v>
      </c>
      <c r="P30" s="24">
        <v>6</v>
      </c>
      <c r="Q30" s="24">
        <v>4</v>
      </c>
      <c r="R30" s="25" cm="1">
        <f t="array" ref="R30">INDEX($C$3:$G$10,P30,Q30)</f>
        <v>31.92</v>
      </c>
    </row>
    <row r="31" spans="3:18" x14ac:dyDescent="0.3">
      <c r="C31" s="25"/>
      <c r="O31" s="14" t="s">
        <v>1192</v>
      </c>
      <c r="P31" s="24">
        <v>7</v>
      </c>
      <c r="Q31" s="24">
        <v>4</v>
      </c>
      <c r="R31" s="25" cm="1">
        <f t="array" ref="R31">INDEX($C$3:$G$10,P31,Q31)</f>
        <v>36.53</v>
      </c>
    </row>
    <row r="32" spans="3:18" x14ac:dyDescent="0.3">
      <c r="C32" s="25"/>
      <c r="O32" s="14" t="s">
        <v>1237</v>
      </c>
      <c r="P32" s="24">
        <v>1</v>
      </c>
      <c r="Q32" s="24">
        <v>4</v>
      </c>
      <c r="R32" s="25" cm="1">
        <f t="array" ref="R32">INDEX($C$3:$G$10,P32,Q32)</f>
        <v>18.25</v>
      </c>
    </row>
    <row r="33" spans="3:18" x14ac:dyDescent="0.3">
      <c r="C33" s="25"/>
      <c r="O33" s="14" t="s">
        <v>886</v>
      </c>
      <c r="P33" s="24">
        <v>1</v>
      </c>
      <c r="Q33" s="24">
        <v>2</v>
      </c>
      <c r="R33" s="25" cm="1">
        <f t="array" ref="R33">INDEX($C$3:$G$10,P33,Q33)</f>
        <v>11.18</v>
      </c>
    </row>
    <row r="34" spans="3:18" x14ac:dyDescent="0.3">
      <c r="C34" s="25"/>
      <c r="O34" s="14" t="s">
        <v>958</v>
      </c>
      <c r="P34" s="24">
        <v>2</v>
      </c>
      <c r="Q34" s="24">
        <v>3</v>
      </c>
      <c r="R34" s="25" cm="1">
        <f t="array" ref="R34">INDEX($C$3:$G$10,P34,Q34)</f>
        <v>15.32</v>
      </c>
    </row>
    <row r="35" spans="3:18" x14ac:dyDescent="0.3">
      <c r="C35" s="25"/>
      <c r="O35" s="14" t="s">
        <v>866</v>
      </c>
      <c r="P35" s="24">
        <v>4</v>
      </c>
      <c r="Q35" s="24">
        <v>5</v>
      </c>
      <c r="R35" s="25" cm="1">
        <f t="array" ref="R35">INDEX($C$3:$G$10,P35,Q35)</f>
        <v>23.99</v>
      </c>
    </row>
    <row r="36" spans="3:18" x14ac:dyDescent="0.3">
      <c r="C36" s="25"/>
      <c r="O36" s="14" t="s">
        <v>938</v>
      </c>
      <c r="P36" s="24">
        <v>5</v>
      </c>
      <c r="Q36" s="24">
        <v>5</v>
      </c>
      <c r="R36" s="25" cm="1">
        <f t="array" ref="R36">INDEX($C$3:$G$10,P36,Q36)</f>
        <v>28.18</v>
      </c>
    </row>
    <row r="37" spans="3:18" x14ac:dyDescent="0.3">
      <c r="C37" s="25"/>
      <c r="O37" s="14" t="s">
        <v>1086</v>
      </c>
      <c r="P37" s="24">
        <v>4</v>
      </c>
      <c r="Q37" s="24">
        <v>1</v>
      </c>
      <c r="R37" s="25" cm="1">
        <f t="array" ref="R37">INDEX($C$3:$G$10,P37,Q37)</f>
        <v>16.18</v>
      </c>
    </row>
    <row r="38" spans="3:18" x14ac:dyDescent="0.3">
      <c r="C38" s="25"/>
      <c r="O38" s="14" t="s">
        <v>931</v>
      </c>
      <c r="P38" s="24">
        <v>5</v>
      </c>
      <c r="Q38" s="24">
        <v>1</v>
      </c>
      <c r="R38" s="25" cm="1">
        <f t="array" ref="R38">INDEX($C$3:$G$10,P38,Q38)</f>
        <v>18.59</v>
      </c>
    </row>
    <row r="39" spans="3:18" x14ac:dyDescent="0.3">
      <c r="C39" s="25"/>
      <c r="O39" s="14" t="s">
        <v>926</v>
      </c>
      <c r="P39" s="24">
        <v>8</v>
      </c>
      <c r="Q39" s="24">
        <v>4</v>
      </c>
      <c r="R39" s="25" cm="1">
        <f t="array" ref="R39">INDEX($C$3:$G$10,P39,Q39)</f>
        <v>47.19</v>
      </c>
    </row>
    <row r="40" spans="3:18" x14ac:dyDescent="0.3">
      <c r="C40" s="25"/>
      <c r="O40" s="14" t="s">
        <v>1046</v>
      </c>
      <c r="P40" s="24">
        <v>1</v>
      </c>
      <c r="Q40" s="24">
        <v>2</v>
      </c>
      <c r="R40" s="25" cm="1">
        <f t="array" ref="R40">INDEX($C$3:$G$10,P40,Q40)</f>
        <v>11.18</v>
      </c>
    </row>
    <row r="41" spans="3:18" x14ac:dyDescent="0.3">
      <c r="C41" s="25"/>
      <c r="O41" s="14" t="s">
        <v>1061</v>
      </c>
      <c r="P41" s="24">
        <v>8</v>
      </c>
      <c r="Q41" s="24">
        <v>1</v>
      </c>
      <c r="R41" s="25" cm="1">
        <f t="array" ref="R41">INDEX($C$3:$G$10,P41,Q41)</f>
        <v>31.18</v>
      </c>
    </row>
    <row r="42" spans="3:18" x14ac:dyDescent="0.3">
      <c r="C42" s="25"/>
      <c r="O42" s="14" t="s">
        <v>1121</v>
      </c>
      <c r="P42" s="24">
        <v>3</v>
      </c>
      <c r="Q42" s="24">
        <v>5</v>
      </c>
      <c r="R42" s="25" cm="1">
        <f t="array" ref="R42">INDEX($C$3:$G$10,P42,Q42)</f>
        <v>24.52</v>
      </c>
    </row>
    <row r="43" spans="3:18" x14ac:dyDescent="0.3">
      <c r="C43" s="25"/>
      <c r="O43" s="14" t="s">
        <v>1226</v>
      </c>
      <c r="P43" s="24">
        <v>6</v>
      </c>
      <c r="Q43" s="24">
        <v>1</v>
      </c>
      <c r="R43" s="25" cm="1">
        <f t="array" ref="R43">INDEX($C$3:$G$10,P43,Q43)</f>
        <v>21.52</v>
      </c>
    </row>
    <row r="44" spans="3:18" x14ac:dyDescent="0.3">
      <c r="C44" s="25"/>
      <c r="O44" s="14" t="s">
        <v>933</v>
      </c>
      <c r="P44" s="24">
        <v>6</v>
      </c>
      <c r="Q44" s="24">
        <v>4</v>
      </c>
      <c r="R44" s="25" cm="1">
        <f t="array" ref="R44">INDEX($C$3:$G$10,P44,Q44)</f>
        <v>31.92</v>
      </c>
    </row>
    <row r="45" spans="3:18" x14ac:dyDescent="0.3">
      <c r="C45" s="25"/>
      <c r="O45" s="14" t="s">
        <v>1135</v>
      </c>
      <c r="P45" s="24">
        <v>1</v>
      </c>
      <c r="Q45" s="24">
        <v>3</v>
      </c>
      <c r="R45" s="25" cm="1">
        <f t="array" ref="R45">INDEX($C$3:$G$10,P45,Q45)</f>
        <v>14.47</v>
      </c>
    </row>
    <row r="46" spans="3:18" x14ac:dyDescent="0.3">
      <c r="C46" s="25"/>
      <c r="O46" s="14" t="s">
        <v>1231</v>
      </c>
      <c r="P46" s="24">
        <v>5</v>
      </c>
      <c r="Q46" s="24">
        <v>4</v>
      </c>
      <c r="R46" s="25" cm="1">
        <f t="array" ref="R46">INDEX($C$3:$G$10,P46,Q46)</f>
        <v>30.27</v>
      </c>
    </row>
    <row r="47" spans="3:18" x14ac:dyDescent="0.3">
      <c r="C47" s="25"/>
      <c r="O47" s="14" t="s">
        <v>1297</v>
      </c>
      <c r="P47" s="24">
        <v>8</v>
      </c>
      <c r="Q47" s="24">
        <v>2</v>
      </c>
      <c r="R47" s="25" cm="1">
        <f t="array" ref="R47">INDEX($C$3:$G$10,P47,Q47)</f>
        <v>34.97</v>
      </c>
    </row>
    <row r="48" spans="3:18" x14ac:dyDescent="0.3">
      <c r="C48" s="25"/>
      <c r="O48" s="14" t="s">
        <v>1013</v>
      </c>
      <c r="P48" s="24">
        <v>1</v>
      </c>
      <c r="Q48" s="24">
        <v>5</v>
      </c>
      <c r="R48" s="25" cm="1">
        <f t="array" ref="R48">INDEX($C$3:$G$10,P48,Q48)</f>
        <v>19.18</v>
      </c>
    </row>
    <row r="49" spans="3:18" x14ac:dyDescent="0.3">
      <c r="C49" s="25"/>
      <c r="O49" s="14" t="s">
        <v>948</v>
      </c>
      <c r="P49" s="24">
        <v>3</v>
      </c>
      <c r="Q49" s="24">
        <v>3</v>
      </c>
      <c r="R49" s="25" cm="1">
        <f t="array" ref="R49">INDEX($C$3:$G$10,P49,Q49)</f>
        <v>17.600000000000001</v>
      </c>
    </row>
    <row r="50" spans="3:18" x14ac:dyDescent="0.3">
      <c r="C50" s="25"/>
      <c r="O50" s="14" t="s">
        <v>1205</v>
      </c>
      <c r="P50" s="24">
        <v>6</v>
      </c>
      <c r="Q50" s="24">
        <v>5</v>
      </c>
      <c r="R50" s="25" cm="1">
        <f t="array" ref="R50">INDEX($C$3:$G$10,P50,Q50)</f>
        <v>37.200000000000003</v>
      </c>
    </row>
    <row r="51" spans="3:18" x14ac:dyDescent="0.3">
      <c r="C51" s="25"/>
      <c r="O51" s="14" t="s">
        <v>858</v>
      </c>
      <c r="P51" s="24">
        <v>5</v>
      </c>
      <c r="Q51" s="24">
        <v>1</v>
      </c>
      <c r="R51" s="25" cm="1">
        <f t="array" ref="R51">INDEX($C$3:$G$10,P51,Q51)</f>
        <v>18.59</v>
      </c>
    </row>
    <row r="52" spans="3:18" x14ac:dyDescent="0.3">
      <c r="C52" s="25"/>
      <c r="O52" s="14" t="s">
        <v>975</v>
      </c>
      <c r="P52" s="24">
        <v>7</v>
      </c>
      <c r="Q52" s="24">
        <v>5</v>
      </c>
      <c r="R52" s="25" cm="1">
        <f t="array" ref="R52">INDEX($C$3:$G$10,P52,Q52)</f>
        <v>41.2</v>
      </c>
    </row>
    <row r="53" spans="3:18" x14ac:dyDescent="0.3">
      <c r="C53" s="25"/>
      <c r="O53" s="14" t="s">
        <v>1286</v>
      </c>
      <c r="P53" s="24">
        <v>3</v>
      </c>
      <c r="Q53" s="24">
        <v>1</v>
      </c>
      <c r="R53" s="25" cm="1">
        <f t="array" ref="R53">INDEX($C$3:$G$10,P53,Q53)</f>
        <v>16.2</v>
      </c>
    </row>
    <row r="54" spans="3:18" x14ac:dyDescent="0.3">
      <c r="C54" s="25"/>
      <c r="O54" s="14" t="s">
        <v>1003</v>
      </c>
      <c r="P54" s="24">
        <v>4</v>
      </c>
      <c r="Q54" s="24">
        <v>2</v>
      </c>
      <c r="R54" s="25" cm="1">
        <f t="array" ref="R54">INDEX($C$3:$G$10,P54,Q54)</f>
        <v>17.060000000000002</v>
      </c>
    </row>
    <row r="55" spans="3:18" x14ac:dyDescent="0.3">
      <c r="C55" s="25"/>
      <c r="O55" s="14" t="s">
        <v>1262</v>
      </c>
      <c r="P55" s="24">
        <v>8</v>
      </c>
      <c r="Q55" s="24">
        <v>3</v>
      </c>
      <c r="R55" s="25" cm="1">
        <f t="array" ref="R55">INDEX($C$3:$G$10,P55,Q55)</f>
        <v>38.79</v>
      </c>
    </row>
    <row r="56" spans="3:18" x14ac:dyDescent="0.3">
      <c r="C56" s="25"/>
      <c r="O56" s="14" t="s">
        <v>1062</v>
      </c>
      <c r="P56" s="24">
        <v>8</v>
      </c>
      <c r="Q56" s="24">
        <v>4</v>
      </c>
      <c r="R56" s="25" cm="1">
        <f t="array" ref="R56">INDEX($C$3:$G$10,P56,Q56)</f>
        <v>47.19</v>
      </c>
    </row>
    <row r="57" spans="3:18" x14ac:dyDescent="0.3">
      <c r="C57" s="25"/>
      <c r="O57" s="14" t="s">
        <v>1255</v>
      </c>
      <c r="P57" s="24">
        <v>3</v>
      </c>
      <c r="Q57" s="24">
        <v>3</v>
      </c>
      <c r="R57" s="25" cm="1">
        <f t="array" ref="R57">INDEX($C$3:$G$10,P57,Q57)</f>
        <v>17.600000000000001</v>
      </c>
    </row>
    <row r="58" spans="3:18" x14ac:dyDescent="0.3">
      <c r="C58" s="25"/>
      <c r="O58" s="14" t="s">
        <v>1188</v>
      </c>
      <c r="P58" s="24">
        <v>2</v>
      </c>
      <c r="Q58" s="24">
        <v>4</v>
      </c>
      <c r="R58" s="25" cm="1">
        <f t="array" ref="R58">INDEX($C$3:$G$10,P58,Q58)</f>
        <v>17.53</v>
      </c>
    </row>
    <row r="59" spans="3:18" x14ac:dyDescent="0.3">
      <c r="C59" s="25"/>
      <c r="O59" s="14" t="s">
        <v>1150</v>
      </c>
      <c r="P59" s="24">
        <v>7</v>
      </c>
      <c r="Q59" s="24">
        <v>5</v>
      </c>
      <c r="R59" s="25" cm="1">
        <f t="array" ref="R59">INDEX($C$3:$G$10,P59,Q59)</f>
        <v>41.2</v>
      </c>
    </row>
    <row r="60" spans="3:18" x14ac:dyDescent="0.3">
      <c r="C60" s="25"/>
      <c r="O60" s="14" t="s">
        <v>1169</v>
      </c>
      <c r="P60" s="24">
        <v>7</v>
      </c>
      <c r="Q60" s="24">
        <v>3</v>
      </c>
      <c r="R60" s="25" cm="1">
        <f t="array" ref="R60">INDEX($C$3:$G$10,P60,Q60)</f>
        <v>35.18</v>
      </c>
    </row>
    <row r="61" spans="3:18" x14ac:dyDescent="0.3">
      <c r="C61" s="25"/>
      <c r="O61" s="14" t="s">
        <v>994</v>
      </c>
      <c r="P61" s="24">
        <v>5</v>
      </c>
      <c r="Q61" s="24">
        <v>5</v>
      </c>
      <c r="R61" s="25" cm="1">
        <f t="array" ref="R61">INDEX($C$3:$G$10,P61,Q61)</f>
        <v>28.18</v>
      </c>
    </row>
    <row r="62" spans="3:18" x14ac:dyDescent="0.3">
      <c r="C62" s="25"/>
      <c r="O62" s="14" t="s">
        <v>1307</v>
      </c>
      <c r="P62" s="24">
        <v>4</v>
      </c>
      <c r="Q62" s="24">
        <v>1</v>
      </c>
      <c r="R62" s="25" cm="1">
        <f t="array" ref="R62">INDEX($C$3:$G$10,P62,Q62)</f>
        <v>16.18</v>
      </c>
    </row>
    <row r="63" spans="3:18" x14ac:dyDescent="0.3">
      <c r="C63" s="25"/>
      <c r="O63" s="14" t="s">
        <v>1004</v>
      </c>
      <c r="P63" s="24">
        <v>6</v>
      </c>
      <c r="Q63" s="24">
        <v>2</v>
      </c>
      <c r="R63" s="25" cm="1">
        <f t="array" ref="R63">INDEX($C$3:$G$10,P63,Q63)</f>
        <v>24.2</v>
      </c>
    </row>
    <row r="64" spans="3:18" x14ac:dyDescent="0.3">
      <c r="C64" s="25"/>
      <c r="O64" s="14" t="s">
        <v>1155</v>
      </c>
      <c r="P64" s="24">
        <v>5</v>
      </c>
      <c r="Q64" s="24">
        <v>2</v>
      </c>
      <c r="R64" s="25" cm="1">
        <f t="array" ref="R64">INDEX($C$3:$G$10,P64,Q64)</f>
        <v>19.86</v>
      </c>
    </row>
    <row r="65" spans="3:18" x14ac:dyDescent="0.3">
      <c r="C65" s="25"/>
      <c r="O65" s="14" t="s">
        <v>1312</v>
      </c>
      <c r="P65" s="24">
        <v>6</v>
      </c>
      <c r="Q65" s="24">
        <v>1</v>
      </c>
      <c r="R65" s="25" cm="1">
        <f t="array" ref="R65">INDEX($C$3:$G$10,P65,Q65)</f>
        <v>21.52</v>
      </c>
    </row>
    <row r="66" spans="3:18" x14ac:dyDescent="0.3">
      <c r="C66" s="25"/>
      <c r="O66" s="14" t="s">
        <v>1027</v>
      </c>
      <c r="P66" s="24">
        <v>4</v>
      </c>
      <c r="Q66" s="24">
        <v>5</v>
      </c>
      <c r="R66" s="25" cm="1">
        <f t="array" ref="R66">INDEX($C$3:$G$10,P66,Q66)</f>
        <v>23.99</v>
      </c>
    </row>
    <row r="67" spans="3:18" x14ac:dyDescent="0.3">
      <c r="C67" s="25"/>
      <c r="O67" s="14" t="s">
        <v>966</v>
      </c>
      <c r="P67" s="24">
        <v>6</v>
      </c>
      <c r="Q67" s="24">
        <v>5</v>
      </c>
      <c r="R67" s="25" cm="1">
        <f t="array" ref="R67">INDEX($C$3:$G$10,P67,Q67)</f>
        <v>37.200000000000003</v>
      </c>
    </row>
    <row r="68" spans="3:18" x14ac:dyDescent="0.3">
      <c r="C68" s="25"/>
      <c r="O68" s="14" t="s">
        <v>1292</v>
      </c>
      <c r="P68" s="24">
        <v>4</v>
      </c>
      <c r="Q68" s="24">
        <v>3</v>
      </c>
      <c r="R68" s="25" cm="1">
        <f t="array" ref="R68">INDEX($C$3:$G$10,P68,Q68)</f>
        <v>21.34</v>
      </c>
    </row>
    <row r="69" spans="3:18" x14ac:dyDescent="0.3">
      <c r="C69" s="25"/>
      <c r="O69" s="14" t="s">
        <v>892</v>
      </c>
      <c r="P69" s="24">
        <v>1</v>
      </c>
      <c r="Q69" s="24">
        <v>3</v>
      </c>
      <c r="R69" s="25" cm="1">
        <f t="array" ref="R69">INDEX($C$3:$G$10,P69,Q69)</f>
        <v>14.47</v>
      </c>
    </row>
    <row r="70" spans="3:18" x14ac:dyDescent="0.3">
      <c r="C70" s="25"/>
      <c r="O70" s="14" t="s">
        <v>982</v>
      </c>
      <c r="P70" s="24">
        <v>2</v>
      </c>
      <c r="Q70" s="24">
        <v>3</v>
      </c>
      <c r="R70" s="25" cm="1">
        <f t="array" ref="R70">INDEX($C$3:$G$10,P70,Q70)</f>
        <v>15.32</v>
      </c>
    </row>
    <row r="71" spans="3:18" x14ac:dyDescent="0.3">
      <c r="C71" s="25"/>
      <c r="O71" s="14" t="s">
        <v>1112</v>
      </c>
      <c r="P71" s="24">
        <v>6</v>
      </c>
      <c r="Q71" s="24">
        <v>2</v>
      </c>
      <c r="R71" s="25" cm="1">
        <f t="array" ref="R71">INDEX($C$3:$G$10,P71,Q71)</f>
        <v>24.2</v>
      </c>
    </row>
    <row r="72" spans="3:18" x14ac:dyDescent="0.3">
      <c r="C72" s="25"/>
      <c r="O72" s="14" t="s">
        <v>1015</v>
      </c>
      <c r="P72" s="24">
        <v>6</v>
      </c>
      <c r="Q72" s="24">
        <v>5</v>
      </c>
      <c r="R72" s="25" cm="1">
        <f t="array" ref="R72">INDEX($C$3:$G$10,P72,Q72)</f>
        <v>37.200000000000003</v>
      </c>
    </row>
    <row r="73" spans="3:18" x14ac:dyDescent="0.3">
      <c r="C73" s="25"/>
      <c r="O73" s="14" t="s">
        <v>1250</v>
      </c>
      <c r="P73" s="24">
        <v>3</v>
      </c>
      <c r="Q73" s="24">
        <v>2</v>
      </c>
      <c r="R73" s="25" cm="1">
        <f t="array" ref="R73">INDEX($C$3:$G$10,P73,Q73)</f>
        <v>17.72</v>
      </c>
    </row>
    <row r="74" spans="3:18" x14ac:dyDescent="0.3">
      <c r="C74" s="25"/>
      <c r="O74" s="14" t="s">
        <v>1175</v>
      </c>
      <c r="P74" s="24">
        <v>7</v>
      </c>
      <c r="Q74" s="24">
        <v>4</v>
      </c>
      <c r="R74" s="25" cm="1">
        <f t="array" ref="R74">INDEX($C$3:$G$10,P74,Q74)</f>
        <v>36.53</v>
      </c>
    </row>
    <row r="75" spans="3:18" x14ac:dyDescent="0.3">
      <c r="C75" s="25"/>
      <c r="O75" s="14" t="s">
        <v>1311</v>
      </c>
      <c r="P75" s="24">
        <v>7</v>
      </c>
      <c r="Q75" s="24">
        <v>3</v>
      </c>
      <c r="R75" s="25" cm="1">
        <f t="array" ref="R75">INDEX($C$3:$G$10,P75,Q75)</f>
        <v>35.18</v>
      </c>
    </row>
    <row r="76" spans="3:18" x14ac:dyDescent="0.3">
      <c r="C76" s="25"/>
      <c r="O76" s="14" t="s">
        <v>1234</v>
      </c>
      <c r="P76" s="24">
        <v>7</v>
      </c>
      <c r="Q76" s="24">
        <v>4</v>
      </c>
      <c r="R76" s="25" cm="1">
        <f t="array" ref="R76">INDEX($C$3:$G$10,P76,Q76)</f>
        <v>36.53</v>
      </c>
    </row>
    <row r="77" spans="3:18" x14ac:dyDescent="0.3">
      <c r="C77" s="25"/>
      <c r="O77" s="14" t="s">
        <v>1105</v>
      </c>
      <c r="P77" s="24">
        <v>7</v>
      </c>
      <c r="Q77" s="24">
        <v>3</v>
      </c>
      <c r="R77" s="25" cm="1">
        <f t="array" ref="R77">INDEX($C$3:$G$10,P77,Q77)</f>
        <v>35.18</v>
      </c>
    </row>
    <row r="78" spans="3:18" x14ac:dyDescent="0.3">
      <c r="C78" s="25"/>
      <c r="O78" s="14" t="s">
        <v>1265</v>
      </c>
      <c r="P78" s="24">
        <v>4</v>
      </c>
      <c r="Q78" s="24">
        <v>5</v>
      </c>
      <c r="R78" s="25" cm="1">
        <f t="array" ref="R78">INDEX($C$3:$G$10,P78,Q78)</f>
        <v>23.99</v>
      </c>
    </row>
    <row r="79" spans="3:18" x14ac:dyDescent="0.3">
      <c r="C79" s="25"/>
      <c r="O79" s="14" t="s">
        <v>1118</v>
      </c>
      <c r="P79" s="24">
        <v>4</v>
      </c>
      <c r="Q79" s="24">
        <v>5</v>
      </c>
      <c r="R79" s="25" cm="1">
        <f t="array" ref="R79">INDEX($C$3:$G$10,P79,Q79)</f>
        <v>23.99</v>
      </c>
    </row>
    <row r="80" spans="3:18" x14ac:dyDescent="0.3">
      <c r="C80" s="25"/>
      <c r="O80" s="14" t="s">
        <v>1088</v>
      </c>
      <c r="P80" s="24">
        <v>6</v>
      </c>
      <c r="Q80" s="24">
        <v>5</v>
      </c>
      <c r="R80" s="25" cm="1">
        <f t="array" ref="R80">INDEX($C$3:$G$10,P80,Q80)</f>
        <v>37.200000000000003</v>
      </c>
    </row>
    <row r="81" spans="3:18" x14ac:dyDescent="0.3">
      <c r="C81" s="25"/>
      <c r="O81" s="14" t="s">
        <v>1109</v>
      </c>
      <c r="P81" s="24">
        <v>5</v>
      </c>
      <c r="Q81" s="24">
        <v>4</v>
      </c>
      <c r="R81" s="25" cm="1">
        <f t="array" ref="R81">INDEX($C$3:$G$10,P81,Q81)</f>
        <v>30.27</v>
      </c>
    </row>
    <row r="82" spans="3:18" x14ac:dyDescent="0.3">
      <c r="C82" s="25"/>
      <c r="O82" s="14" t="s">
        <v>1328</v>
      </c>
      <c r="P82" s="24">
        <v>7</v>
      </c>
      <c r="Q82" s="24">
        <v>2</v>
      </c>
      <c r="R82" s="25" cm="1">
        <f t="array" ref="R82">INDEX($C$3:$G$10,P82,Q82)</f>
        <v>28.19</v>
      </c>
    </row>
    <row r="83" spans="3:18" x14ac:dyDescent="0.3">
      <c r="C83" s="25"/>
      <c r="O83" s="14" t="s">
        <v>959</v>
      </c>
      <c r="P83" s="24">
        <v>3</v>
      </c>
      <c r="Q83" s="24">
        <v>2</v>
      </c>
      <c r="R83" s="25" cm="1">
        <f t="array" ref="R83">INDEX($C$3:$G$10,P83,Q83)</f>
        <v>17.72</v>
      </c>
    </row>
    <row r="84" spans="3:18" x14ac:dyDescent="0.3">
      <c r="C84" s="25"/>
      <c r="O84" s="14" t="s">
        <v>1021</v>
      </c>
      <c r="P84" s="24">
        <v>2</v>
      </c>
      <c r="Q84" s="24">
        <v>5</v>
      </c>
      <c r="R84" s="25" cm="1">
        <f t="array" ref="R84">INDEX($C$3:$G$10,P84,Q84)</f>
        <v>21.59</v>
      </c>
    </row>
    <row r="85" spans="3:18" x14ac:dyDescent="0.3">
      <c r="C85" s="25"/>
      <c r="O85" s="14" t="s">
        <v>970</v>
      </c>
      <c r="P85" s="24">
        <v>2</v>
      </c>
      <c r="Q85" s="24">
        <v>1</v>
      </c>
      <c r="R85" s="25" cm="1">
        <f t="array" ref="R85">INDEX($C$3:$G$10,P85,Q85)</f>
        <v>14.51</v>
      </c>
    </row>
    <row r="86" spans="3:18" x14ac:dyDescent="0.3">
      <c r="C86" s="25"/>
      <c r="O86" s="14" t="s">
        <v>1071</v>
      </c>
      <c r="P86" s="24">
        <v>2</v>
      </c>
      <c r="Q86" s="24">
        <v>4</v>
      </c>
      <c r="R86" s="25" cm="1">
        <f t="array" ref="R86">INDEX($C$3:$G$10,P86,Q86)</f>
        <v>17.53</v>
      </c>
    </row>
    <row r="87" spans="3:18" x14ac:dyDescent="0.3">
      <c r="C87" s="25"/>
      <c r="O87" s="14" t="s">
        <v>904</v>
      </c>
      <c r="P87" s="24">
        <v>1</v>
      </c>
      <c r="Q87" s="24">
        <v>3</v>
      </c>
      <c r="R87" s="25" cm="1">
        <f t="array" ref="R87">INDEX($C$3:$G$10,P87,Q87)</f>
        <v>14.47</v>
      </c>
    </row>
    <row r="88" spans="3:18" x14ac:dyDescent="0.3">
      <c r="C88" s="25"/>
      <c r="O88" s="14" t="s">
        <v>961</v>
      </c>
      <c r="P88" s="24">
        <v>2</v>
      </c>
      <c r="Q88" s="24">
        <v>5</v>
      </c>
      <c r="R88" s="25" cm="1">
        <f t="array" ref="R88">INDEX($C$3:$G$10,P88,Q88)</f>
        <v>21.59</v>
      </c>
    </row>
    <row r="89" spans="3:18" x14ac:dyDescent="0.3">
      <c r="C89" s="25"/>
      <c r="O89" s="14" t="s">
        <v>969</v>
      </c>
      <c r="P89" s="24">
        <v>3</v>
      </c>
      <c r="Q89" s="24">
        <v>5</v>
      </c>
      <c r="R89" s="25" cm="1">
        <f t="array" ref="R89">INDEX($C$3:$G$10,P89,Q89)</f>
        <v>24.52</v>
      </c>
    </row>
    <row r="90" spans="3:18" x14ac:dyDescent="0.3">
      <c r="C90" s="25"/>
      <c r="O90" s="14" t="s">
        <v>1009</v>
      </c>
      <c r="P90" s="24">
        <v>7</v>
      </c>
      <c r="Q90" s="24">
        <v>1</v>
      </c>
      <c r="R90" s="25" cm="1">
        <f t="array" ref="R90">INDEX($C$3:$G$10,P90,Q90)</f>
        <v>23.99</v>
      </c>
    </row>
    <row r="91" spans="3:18" x14ac:dyDescent="0.3">
      <c r="C91" s="25"/>
      <c r="O91" s="14" t="s">
        <v>1036</v>
      </c>
      <c r="P91" s="24">
        <v>2</v>
      </c>
      <c r="Q91" s="24">
        <v>5</v>
      </c>
      <c r="R91" s="25" cm="1">
        <f t="array" ref="R91">INDEX($C$3:$G$10,P91,Q91)</f>
        <v>21.59</v>
      </c>
    </row>
    <row r="92" spans="3:18" x14ac:dyDescent="0.3">
      <c r="C92" s="25"/>
      <c r="O92" s="14" t="s">
        <v>1158</v>
      </c>
      <c r="P92" s="24">
        <v>1</v>
      </c>
      <c r="Q92" s="24">
        <v>1</v>
      </c>
      <c r="R92" s="25" cm="1">
        <f t="array" ref="R92">INDEX($C$3:$G$10,P92,Q92)</f>
        <v>13.129999999999999</v>
      </c>
    </row>
    <row r="93" spans="3:18" x14ac:dyDescent="0.3">
      <c r="C93" s="25"/>
      <c r="O93" s="14" t="s">
        <v>1245</v>
      </c>
      <c r="P93" s="24">
        <v>5</v>
      </c>
      <c r="Q93" s="24">
        <v>2</v>
      </c>
      <c r="R93" s="25" cm="1">
        <f t="array" ref="R93">INDEX($C$3:$G$10,P93,Q93)</f>
        <v>19.86</v>
      </c>
    </row>
    <row r="94" spans="3:18" x14ac:dyDescent="0.3">
      <c r="C94" s="25"/>
      <c r="O94" s="14" t="s">
        <v>1338</v>
      </c>
      <c r="P94" s="24">
        <v>8</v>
      </c>
      <c r="Q94" s="24">
        <v>2</v>
      </c>
      <c r="R94" s="25" cm="1">
        <f t="array" ref="R94">INDEX($C$3:$G$10,P94,Q94)</f>
        <v>34.97</v>
      </c>
    </row>
    <row r="95" spans="3:18" x14ac:dyDescent="0.3">
      <c r="C95" s="25"/>
      <c r="O95" s="14" t="s">
        <v>1326</v>
      </c>
      <c r="P95" s="24">
        <v>3</v>
      </c>
      <c r="Q95" s="24">
        <v>4</v>
      </c>
      <c r="R95" s="25" cm="1">
        <f t="array" ref="R95">INDEX($C$3:$G$10,P95,Q95)</f>
        <v>21.2</v>
      </c>
    </row>
    <row r="96" spans="3:18" x14ac:dyDescent="0.3">
      <c r="C96" s="25"/>
      <c r="O96" s="14" t="s">
        <v>902</v>
      </c>
      <c r="P96" s="24">
        <v>6</v>
      </c>
      <c r="Q96" s="24">
        <v>1</v>
      </c>
      <c r="R96" s="25" cm="1">
        <f t="array" ref="R96">INDEX($C$3:$G$10,P96,Q96)</f>
        <v>21.52</v>
      </c>
    </row>
    <row r="97" spans="3:18" x14ac:dyDescent="0.3">
      <c r="C97" s="25"/>
      <c r="O97" s="14" t="s">
        <v>1171</v>
      </c>
      <c r="P97" s="24">
        <v>4</v>
      </c>
      <c r="Q97" s="24">
        <v>1</v>
      </c>
      <c r="R97" s="25" cm="1">
        <f t="array" ref="R97">INDEX($C$3:$G$10,P97,Q97)</f>
        <v>16.18</v>
      </c>
    </row>
    <row r="98" spans="3:18" x14ac:dyDescent="0.3">
      <c r="C98" s="25"/>
      <c r="O98" s="14" t="s">
        <v>894</v>
      </c>
      <c r="P98" s="24">
        <v>2</v>
      </c>
      <c r="Q98" s="24">
        <v>5</v>
      </c>
      <c r="R98" s="25" cm="1">
        <f t="array" ref="R98">INDEX($C$3:$G$10,P98,Q98)</f>
        <v>21.59</v>
      </c>
    </row>
    <row r="99" spans="3:18" x14ac:dyDescent="0.3">
      <c r="C99" s="25"/>
      <c r="O99" s="14" t="s">
        <v>1281</v>
      </c>
      <c r="P99" s="24">
        <v>7</v>
      </c>
      <c r="Q99" s="24">
        <v>5</v>
      </c>
      <c r="R99" s="25" cm="1">
        <f t="array" ref="R99">INDEX($C$3:$G$10,P99,Q99)</f>
        <v>41.2</v>
      </c>
    </row>
    <row r="100" spans="3:18" x14ac:dyDescent="0.3">
      <c r="C100" s="25"/>
      <c r="O100" s="14" t="s">
        <v>1068</v>
      </c>
      <c r="P100" s="24">
        <v>7</v>
      </c>
      <c r="Q100" s="24">
        <v>5</v>
      </c>
      <c r="R100" s="25" cm="1">
        <f t="array" ref="R100">INDEX($C$3:$G$10,P100,Q100)</f>
        <v>41.2</v>
      </c>
    </row>
    <row r="101" spans="3:18" x14ac:dyDescent="0.3">
      <c r="C101" s="25"/>
      <c r="O101" s="14" t="s">
        <v>988</v>
      </c>
      <c r="P101" s="24">
        <v>4</v>
      </c>
      <c r="Q101" s="24">
        <v>2</v>
      </c>
      <c r="R101" s="25" cm="1">
        <f t="array" ref="R101">INDEX($C$3:$G$10,P101,Q101)</f>
        <v>17.060000000000002</v>
      </c>
    </row>
    <row r="102" spans="3:18" x14ac:dyDescent="0.3">
      <c r="C102" s="25"/>
      <c r="O102" s="14" t="s">
        <v>1128</v>
      </c>
      <c r="P102" s="24">
        <v>2</v>
      </c>
      <c r="Q102" s="24">
        <v>2</v>
      </c>
      <c r="R102" s="25" cm="1">
        <f t="array" ref="R102">INDEX($C$3:$G$10,P102,Q102)</f>
        <v>14.8</v>
      </c>
    </row>
    <row r="103" spans="3:18" x14ac:dyDescent="0.3">
      <c r="C103" s="25"/>
      <c r="O103" s="14" t="s">
        <v>879</v>
      </c>
      <c r="P103" s="24">
        <v>1</v>
      </c>
      <c r="Q103" s="24">
        <v>3</v>
      </c>
      <c r="R103" s="25" cm="1">
        <f t="array" ref="R103">INDEX($C$3:$G$10,P103,Q103)</f>
        <v>14.47</v>
      </c>
    </row>
    <row r="104" spans="3:18" x14ac:dyDescent="0.3">
      <c r="C104" s="25"/>
      <c r="O104" s="14" t="s">
        <v>981</v>
      </c>
      <c r="P104" s="24">
        <v>7</v>
      </c>
      <c r="Q104" s="24">
        <v>4</v>
      </c>
      <c r="R104" s="25" cm="1">
        <f t="array" ref="R104">INDEX($C$3:$G$10,P104,Q104)</f>
        <v>36.53</v>
      </c>
    </row>
    <row r="105" spans="3:18" x14ac:dyDescent="0.3">
      <c r="C105" s="25"/>
      <c r="O105" s="14" t="s">
        <v>1276</v>
      </c>
      <c r="P105" s="24">
        <v>4</v>
      </c>
      <c r="Q105" s="24">
        <v>1</v>
      </c>
      <c r="R105" s="25" cm="1">
        <f t="array" ref="R105">INDEX($C$3:$G$10,P105,Q105)</f>
        <v>16.18</v>
      </c>
    </row>
    <row r="106" spans="3:18" x14ac:dyDescent="0.3">
      <c r="C106" s="25"/>
      <c r="O106" s="14" t="s">
        <v>1332</v>
      </c>
      <c r="P106" s="24">
        <v>5</v>
      </c>
      <c r="Q106" s="24">
        <v>4</v>
      </c>
      <c r="R106" s="25" cm="1">
        <f t="array" ref="R106">INDEX($C$3:$G$10,P106,Q106)</f>
        <v>30.27</v>
      </c>
    </row>
    <row r="107" spans="3:18" x14ac:dyDescent="0.3">
      <c r="C107" s="25"/>
      <c r="O107" s="14" t="s">
        <v>1084</v>
      </c>
      <c r="P107" s="24">
        <v>4</v>
      </c>
      <c r="Q107" s="24">
        <v>2</v>
      </c>
      <c r="R107" s="25" cm="1">
        <f t="array" ref="R107">INDEX($C$3:$G$10,P107,Q107)</f>
        <v>17.060000000000002</v>
      </c>
    </row>
    <row r="108" spans="3:18" x14ac:dyDescent="0.3">
      <c r="C108" s="25"/>
      <c r="O108" s="14" t="s">
        <v>1216</v>
      </c>
      <c r="P108" s="24">
        <v>3</v>
      </c>
      <c r="Q108" s="24">
        <v>1</v>
      </c>
      <c r="R108" s="25" cm="1">
        <f t="array" ref="R108">INDEX($C$3:$G$10,P108,Q108)</f>
        <v>16.2</v>
      </c>
    </row>
    <row r="109" spans="3:18" x14ac:dyDescent="0.3">
      <c r="C109" s="25"/>
      <c r="O109" s="14" t="s">
        <v>1006</v>
      </c>
      <c r="P109" s="24">
        <v>4</v>
      </c>
      <c r="Q109" s="24">
        <v>2</v>
      </c>
      <c r="R109" s="25" cm="1">
        <f t="array" ref="R109">INDEX($C$3:$G$10,P109,Q109)</f>
        <v>17.060000000000002</v>
      </c>
    </row>
    <row r="110" spans="3:18" x14ac:dyDescent="0.3">
      <c r="C110" s="25"/>
      <c r="O110" s="14" t="s">
        <v>911</v>
      </c>
      <c r="P110" s="24">
        <v>7</v>
      </c>
      <c r="Q110" s="24">
        <v>1</v>
      </c>
      <c r="R110" s="25" cm="1">
        <f t="array" ref="R110">INDEX($C$3:$G$10,P110,Q110)</f>
        <v>23.99</v>
      </c>
    </row>
    <row r="111" spans="3:18" x14ac:dyDescent="0.3">
      <c r="C111" s="25"/>
      <c r="O111" s="14" t="s">
        <v>1152</v>
      </c>
      <c r="P111" s="24">
        <v>4</v>
      </c>
      <c r="Q111" s="24">
        <v>5</v>
      </c>
      <c r="R111" s="25" cm="1">
        <f t="array" ref="R111">INDEX($C$3:$G$10,P111,Q111)</f>
        <v>23.99</v>
      </c>
    </row>
    <row r="112" spans="3:18" x14ac:dyDescent="0.3">
      <c r="C112" s="25"/>
      <c r="O112" s="14" t="s">
        <v>1134</v>
      </c>
      <c r="P112" s="24">
        <v>1</v>
      </c>
      <c r="Q112" s="24">
        <v>4</v>
      </c>
      <c r="R112" s="25" cm="1">
        <f t="array" ref="R112">INDEX($C$3:$G$10,P112,Q112)</f>
        <v>18.25</v>
      </c>
    </row>
    <row r="113" spans="3:18" x14ac:dyDescent="0.3">
      <c r="C113" s="25"/>
      <c r="O113" s="14" t="s">
        <v>1008</v>
      </c>
      <c r="P113" s="24">
        <v>1</v>
      </c>
      <c r="Q113" s="24">
        <v>1</v>
      </c>
      <c r="R113" s="25" cm="1">
        <f t="array" ref="R113">INDEX($C$3:$G$10,P113,Q113)</f>
        <v>13.129999999999999</v>
      </c>
    </row>
    <row r="114" spans="3:18" x14ac:dyDescent="0.3">
      <c r="C114" s="25"/>
      <c r="O114" s="14" t="s">
        <v>973</v>
      </c>
      <c r="P114" s="24">
        <v>1</v>
      </c>
      <c r="Q114" s="24">
        <v>1</v>
      </c>
      <c r="R114" s="25" cm="1">
        <f t="array" ref="R114">INDEX($C$3:$G$10,P114,Q114)</f>
        <v>13.129999999999999</v>
      </c>
    </row>
    <row r="115" spans="3:18" x14ac:dyDescent="0.3">
      <c r="C115" s="25"/>
      <c r="O115" s="14" t="s">
        <v>949</v>
      </c>
      <c r="P115" s="24">
        <v>5</v>
      </c>
      <c r="Q115" s="24">
        <v>3</v>
      </c>
      <c r="R115" s="25" cm="1">
        <f t="array" ref="R115">INDEX($C$3:$G$10,P115,Q115)</f>
        <v>23.6</v>
      </c>
    </row>
    <row r="116" spans="3:18" x14ac:dyDescent="0.3">
      <c r="C116" s="25"/>
      <c r="O116" s="14" t="s">
        <v>869</v>
      </c>
      <c r="P116" s="24">
        <v>1</v>
      </c>
      <c r="Q116" s="24">
        <v>1</v>
      </c>
      <c r="R116" s="25" cm="1">
        <f t="array" ref="R116">INDEX($C$3:$G$10,P116,Q116)</f>
        <v>13.129999999999999</v>
      </c>
    </row>
    <row r="117" spans="3:18" x14ac:dyDescent="0.3">
      <c r="C117" s="25"/>
      <c r="O117" s="14" t="s">
        <v>1001</v>
      </c>
      <c r="P117" s="24">
        <v>2</v>
      </c>
      <c r="Q117" s="24">
        <v>3</v>
      </c>
      <c r="R117" s="25" cm="1">
        <f t="array" ref="R117">INDEX($C$3:$G$10,P117,Q117)</f>
        <v>15.32</v>
      </c>
    </row>
    <row r="118" spans="3:18" x14ac:dyDescent="0.3">
      <c r="C118" s="25"/>
      <c r="O118" s="14" t="s">
        <v>912</v>
      </c>
      <c r="P118" s="24">
        <v>8</v>
      </c>
      <c r="Q118" s="24">
        <v>2</v>
      </c>
      <c r="R118" s="25" cm="1">
        <f t="array" ref="R118">INDEX($C$3:$G$10,P118,Q118)</f>
        <v>34.97</v>
      </c>
    </row>
    <row r="119" spans="3:18" x14ac:dyDescent="0.3">
      <c r="C119" s="25"/>
      <c r="O119" s="14" t="s">
        <v>872</v>
      </c>
      <c r="P119" s="24">
        <v>2</v>
      </c>
      <c r="Q119" s="24">
        <v>4</v>
      </c>
      <c r="R119" s="25" cm="1">
        <f t="array" ref="R119">INDEX($C$3:$G$10,P119,Q119)</f>
        <v>17.53</v>
      </c>
    </row>
    <row r="120" spans="3:18" x14ac:dyDescent="0.3">
      <c r="C120" s="25"/>
      <c r="O120" s="14" t="s">
        <v>1256</v>
      </c>
      <c r="P120" s="24">
        <v>8</v>
      </c>
      <c r="Q120" s="24">
        <v>1</v>
      </c>
      <c r="R120" s="25" cm="1">
        <f t="array" ref="R120">INDEX($C$3:$G$10,P120,Q120)</f>
        <v>31.18</v>
      </c>
    </row>
    <row r="121" spans="3:18" x14ac:dyDescent="0.3">
      <c r="C121" s="25"/>
      <c r="O121" s="14" t="s">
        <v>1334</v>
      </c>
      <c r="P121" s="24">
        <v>8</v>
      </c>
      <c r="Q121" s="24">
        <v>4</v>
      </c>
      <c r="R121" s="25" cm="1">
        <f t="array" ref="R121">INDEX($C$3:$G$10,P121,Q121)</f>
        <v>47.19</v>
      </c>
    </row>
    <row r="122" spans="3:18" x14ac:dyDescent="0.3">
      <c r="C122" s="25"/>
      <c r="O122" s="14" t="s">
        <v>965</v>
      </c>
      <c r="P122" s="24">
        <v>2</v>
      </c>
      <c r="Q122" s="24">
        <v>1</v>
      </c>
      <c r="R122" s="25" cm="1">
        <f t="array" ref="R122">INDEX($C$3:$G$10,P122,Q122)</f>
        <v>14.51</v>
      </c>
    </row>
    <row r="123" spans="3:18" x14ac:dyDescent="0.3">
      <c r="C123" s="25"/>
      <c r="O123" s="14" t="s">
        <v>1129</v>
      </c>
      <c r="P123" s="24">
        <v>2</v>
      </c>
      <c r="Q123" s="24">
        <v>4</v>
      </c>
      <c r="R123" s="25" cm="1">
        <f t="array" ref="R123">INDEX($C$3:$G$10,P123,Q123)</f>
        <v>17.53</v>
      </c>
    </row>
    <row r="124" spans="3:18" x14ac:dyDescent="0.3">
      <c r="C124" s="25"/>
      <c r="O124" s="14" t="s">
        <v>1011</v>
      </c>
      <c r="P124" s="24">
        <v>8</v>
      </c>
      <c r="Q124" s="24">
        <v>5</v>
      </c>
      <c r="R124" s="25" cm="1">
        <f t="array" ref="R124">INDEX($C$3:$G$10,P124,Q124)</f>
        <v>47.4</v>
      </c>
    </row>
    <row r="125" spans="3:18" x14ac:dyDescent="0.3">
      <c r="C125" s="25"/>
      <c r="O125" s="14" t="s">
        <v>1193</v>
      </c>
      <c r="P125" s="24">
        <v>6</v>
      </c>
      <c r="Q125" s="24">
        <v>3</v>
      </c>
      <c r="R125" s="25" cm="1">
        <f t="array" ref="R125">INDEX($C$3:$G$10,P125,Q125)</f>
        <v>28.53</v>
      </c>
    </row>
    <row r="126" spans="3:18" x14ac:dyDescent="0.3">
      <c r="C126" s="25"/>
      <c r="O126" s="14" t="s">
        <v>945</v>
      </c>
      <c r="P126" s="24">
        <v>3</v>
      </c>
      <c r="Q126" s="24">
        <v>4</v>
      </c>
      <c r="R126" s="25" cm="1">
        <f t="array" ref="R126">INDEX($C$3:$G$10,P126,Q126)</f>
        <v>21.2</v>
      </c>
    </row>
    <row r="127" spans="3:18" x14ac:dyDescent="0.3">
      <c r="C127" s="25"/>
      <c r="O127" s="14" t="s">
        <v>1051</v>
      </c>
      <c r="P127" s="24">
        <v>5</v>
      </c>
      <c r="Q127" s="24">
        <v>2</v>
      </c>
      <c r="R127" s="25" cm="1">
        <f t="array" ref="R127">INDEX($C$3:$G$10,P127,Q127)</f>
        <v>19.86</v>
      </c>
    </row>
    <row r="128" spans="3:18" x14ac:dyDescent="0.3">
      <c r="C128" s="25"/>
      <c r="O128" s="14" t="s">
        <v>930</v>
      </c>
      <c r="P128" s="24">
        <v>3</v>
      </c>
      <c r="Q128" s="24">
        <v>4</v>
      </c>
      <c r="R128" s="25" cm="1">
        <f t="array" ref="R128">INDEX($C$3:$G$10,P128,Q128)</f>
        <v>21.2</v>
      </c>
    </row>
    <row r="129" spans="3:18" x14ac:dyDescent="0.3">
      <c r="C129" s="25"/>
      <c r="O129" s="14" t="s">
        <v>1333</v>
      </c>
      <c r="P129" s="24">
        <v>7</v>
      </c>
      <c r="Q129" s="24">
        <v>2</v>
      </c>
      <c r="R129" s="25" cm="1">
        <f t="array" ref="R129">INDEX($C$3:$G$10,P129,Q129)</f>
        <v>28.19</v>
      </c>
    </row>
    <row r="130" spans="3:18" x14ac:dyDescent="0.3">
      <c r="C130" s="25"/>
      <c r="O130" s="14" t="s">
        <v>918</v>
      </c>
      <c r="P130" s="24">
        <v>5</v>
      </c>
      <c r="Q130" s="24">
        <v>5</v>
      </c>
      <c r="R130" s="25" cm="1">
        <f t="array" ref="R130">INDEX($C$3:$G$10,P130,Q130)</f>
        <v>28.18</v>
      </c>
    </row>
    <row r="131" spans="3:18" x14ac:dyDescent="0.3">
      <c r="C131" s="25"/>
      <c r="O131" s="14" t="s">
        <v>924</v>
      </c>
      <c r="P131" s="24">
        <v>6</v>
      </c>
      <c r="Q131" s="24">
        <v>4</v>
      </c>
      <c r="R131" s="25" cm="1">
        <f t="array" ref="R131">INDEX($C$3:$G$10,P131,Q131)</f>
        <v>31.92</v>
      </c>
    </row>
    <row r="132" spans="3:18" x14ac:dyDescent="0.3">
      <c r="C132" s="25"/>
      <c r="O132" s="14" t="s">
        <v>1093</v>
      </c>
      <c r="P132" s="24">
        <v>1</v>
      </c>
      <c r="Q132" s="24">
        <v>3</v>
      </c>
      <c r="R132" s="25" cm="1">
        <f t="array" ref="R132">INDEX($C$3:$G$10,P132,Q132)</f>
        <v>14.47</v>
      </c>
    </row>
    <row r="133" spans="3:18" x14ac:dyDescent="0.3">
      <c r="C133" s="25"/>
      <c r="O133" s="14" t="s">
        <v>980</v>
      </c>
      <c r="P133" s="24">
        <v>7</v>
      </c>
      <c r="Q133" s="24">
        <v>2</v>
      </c>
      <c r="R133" s="25" cm="1">
        <f t="array" ref="R133">INDEX($C$3:$G$10,P133,Q133)</f>
        <v>28.19</v>
      </c>
    </row>
    <row r="134" spans="3:18" x14ac:dyDescent="0.3">
      <c r="C134" s="25"/>
      <c r="O134" s="14" t="s">
        <v>890</v>
      </c>
      <c r="P134" s="24">
        <v>4</v>
      </c>
      <c r="Q134" s="24">
        <v>1</v>
      </c>
      <c r="R134" s="25" cm="1">
        <f t="array" ref="R134">INDEX($C$3:$G$10,P134,Q134)</f>
        <v>16.18</v>
      </c>
    </row>
    <row r="135" spans="3:18" x14ac:dyDescent="0.3">
      <c r="C135" s="25"/>
      <c r="O135" s="14" t="s">
        <v>1249</v>
      </c>
      <c r="P135" s="24">
        <v>5</v>
      </c>
      <c r="Q135" s="24">
        <v>5</v>
      </c>
      <c r="R135" s="25" cm="1">
        <f t="array" ref="R135">INDEX($C$3:$G$10,P135,Q135)</f>
        <v>28.18</v>
      </c>
    </row>
    <row r="136" spans="3:18" x14ac:dyDescent="0.3">
      <c r="C136" s="25"/>
      <c r="O136" s="14" t="s">
        <v>1248</v>
      </c>
      <c r="P136" s="24">
        <v>4</v>
      </c>
      <c r="Q136" s="24">
        <v>5</v>
      </c>
      <c r="R136" s="25" cm="1">
        <f t="array" ref="R136">INDEX($C$3:$G$10,P136,Q136)</f>
        <v>23.99</v>
      </c>
    </row>
    <row r="137" spans="3:18" x14ac:dyDescent="0.3">
      <c r="C137" s="25"/>
      <c r="O137" s="14" t="s">
        <v>1340</v>
      </c>
      <c r="P137" s="24">
        <v>7</v>
      </c>
      <c r="Q137" s="24">
        <v>2</v>
      </c>
      <c r="R137" s="25" cm="1">
        <f t="array" ref="R137">INDEX($C$3:$G$10,P137,Q137)</f>
        <v>28.19</v>
      </c>
    </row>
    <row r="138" spans="3:18" x14ac:dyDescent="0.3">
      <c r="C138" s="25"/>
      <c r="O138" s="14" t="s">
        <v>908</v>
      </c>
      <c r="P138" s="24">
        <v>2</v>
      </c>
      <c r="Q138" s="24">
        <v>3</v>
      </c>
      <c r="R138" s="25" cm="1">
        <f t="array" ref="R138">INDEX($C$3:$G$10,P138,Q138)</f>
        <v>15.32</v>
      </c>
    </row>
    <row r="139" spans="3:18" x14ac:dyDescent="0.3">
      <c r="C139" s="25"/>
      <c r="O139" s="14" t="s">
        <v>1164</v>
      </c>
      <c r="P139" s="24">
        <v>8</v>
      </c>
      <c r="Q139" s="24">
        <v>3</v>
      </c>
      <c r="R139" s="25" cm="1">
        <f t="array" ref="R139">INDEX($C$3:$G$10,P139,Q139)</f>
        <v>38.79</v>
      </c>
    </row>
    <row r="140" spans="3:18" x14ac:dyDescent="0.3">
      <c r="C140" s="25"/>
      <c r="O140" s="14" t="s">
        <v>1108</v>
      </c>
      <c r="P140" s="24">
        <v>7</v>
      </c>
      <c r="Q140" s="24">
        <v>2</v>
      </c>
      <c r="R140" s="25" cm="1">
        <f t="array" ref="R140">INDEX($C$3:$G$10,P140,Q140)</f>
        <v>28.19</v>
      </c>
    </row>
    <row r="141" spans="3:18" x14ac:dyDescent="0.3">
      <c r="C141" s="25"/>
      <c r="O141" s="14" t="s">
        <v>1167</v>
      </c>
      <c r="P141" s="24">
        <v>2</v>
      </c>
      <c r="Q141" s="24">
        <v>5</v>
      </c>
      <c r="R141" s="25" cm="1">
        <f t="array" ref="R141">INDEX($C$3:$G$10,P141,Q141)</f>
        <v>21.59</v>
      </c>
    </row>
    <row r="142" spans="3:18" x14ac:dyDescent="0.3">
      <c r="C142" s="25"/>
      <c r="O142" s="14" t="s">
        <v>919</v>
      </c>
      <c r="P142" s="24">
        <v>7</v>
      </c>
      <c r="Q142" s="24">
        <v>2</v>
      </c>
      <c r="R142" s="25" cm="1">
        <f t="array" ref="R142">INDEX($C$3:$G$10,P142,Q142)</f>
        <v>28.19</v>
      </c>
    </row>
    <row r="143" spans="3:18" x14ac:dyDescent="0.3">
      <c r="C143" s="25"/>
      <c r="O143" s="14" t="s">
        <v>1219</v>
      </c>
      <c r="P143" s="24">
        <v>5</v>
      </c>
      <c r="Q143" s="24">
        <v>1</v>
      </c>
      <c r="R143" s="25" cm="1">
        <f t="array" ref="R143">INDEX($C$3:$G$10,P143,Q143)</f>
        <v>18.59</v>
      </c>
    </row>
    <row r="144" spans="3:18" x14ac:dyDescent="0.3">
      <c r="C144" s="25"/>
      <c r="O144" s="14" t="s">
        <v>1070</v>
      </c>
      <c r="P144" s="24">
        <v>8</v>
      </c>
      <c r="Q144" s="24">
        <v>3</v>
      </c>
      <c r="R144" s="25" cm="1">
        <f t="array" ref="R144">INDEX($C$3:$G$10,P144,Q144)</f>
        <v>38.79</v>
      </c>
    </row>
    <row r="145" spans="3:18" x14ac:dyDescent="0.3">
      <c r="C145" s="25"/>
      <c r="O145" s="14" t="s">
        <v>1252</v>
      </c>
      <c r="P145" s="24">
        <v>1</v>
      </c>
      <c r="Q145" s="24">
        <v>5</v>
      </c>
      <c r="R145" s="25" cm="1">
        <f t="array" ref="R145">INDEX($C$3:$G$10,P145,Q145)</f>
        <v>19.18</v>
      </c>
    </row>
    <row r="146" spans="3:18" x14ac:dyDescent="0.3">
      <c r="C146" s="25"/>
      <c r="O146" s="14" t="s">
        <v>1210</v>
      </c>
      <c r="P146" s="24">
        <v>5</v>
      </c>
      <c r="Q146" s="24">
        <v>4</v>
      </c>
      <c r="R146" s="25" cm="1">
        <f t="array" ref="R146">INDEX($C$3:$G$10,P146,Q146)</f>
        <v>30.27</v>
      </c>
    </row>
    <row r="147" spans="3:18" x14ac:dyDescent="0.3">
      <c r="C147" s="25"/>
      <c r="O147" s="14" t="s">
        <v>859</v>
      </c>
      <c r="P147" s="24">
        <v>6</v>
      </c>
      <c r="Q147" s="24">
        <v>4</v>
      </c>
      <c r="R147" s="25" cm="1">
        <f t="array" ref="R147">INDEX($C$3:$G$10,P147,Q147)</f>
        <v>31.92</v>
      </c>
    </row>
    <row r="148" spans="3:18" x14ac:dyDescent="0.3">
      <c r="C148" s="25"/>
      <c r="O148" s="14" t="s">
        <v>1146</v>
      </c>
      <c r="P148" s="24">
        <v>1</v>
      </c>
      <c r="Q148" s="24">
        <v>4</v>
      </c>
      <c r="R148" s="25" cm="1">
        <f t="array" ref="R148">INDEX($C$3:$G$10,P148,Q148)</f>
        <v>18.25</v>
      </c>
    </row>
    <row r="149" spans="3:18" x14ac:dyDescent="0.3">
      <c r="C149" s="25"/>
      <c r="O149" s="14" t="s">
        <v>893</v>
      </c>
      <c r="P149" s="24">
        <v>3</v>
      </c>
      <c r="Q149" s="24">
        <v>1</v>
      </c>
      <c r="R149" s="25" cm="1">
        <f t="array" ref="R149">INDEX($C$3:$G$10,P149,Q149)</f>
        <v>16.2</v>
      </c>
    </row>
    <row r="150" spans="3:18" x14ac:dyDescent="0.3">
      <c r="C150" s="25"/>
      <c r="O150" s="14" t="s">
        <v>1075</v>
      </c>
      <c r="P150" s="24">
        <v>4</v>
      </c>
      <c r="Q150" s="24">
        <v>3</v>
      </c>
      <c r="R150" s="25" cm="1">
        <f t="array" ref="R150">INDEX($C$3:$G$10,P150,Q150)</f>
        <v>21.34</v>
      </c>
    </row>
    <row r="151" spans="3:18" x14ac:dyDescent="0.3">
      <c r="C151" s="25"/>
      <c r="O151" s="14" t="s">
        <v>1076</v>
      </c>
      <c r="P151" s="24">
        <v>7</v>
      </c>
      <c r="Q151" s="24">
        <v>1</v>
      </c>
      <c r="R151" s="25" cm="1">
        <f t="array" ref="R151">INDEX($C$3:$G$10,P151,Q151)</f>
        <v>23.99</v>
      </c>
    </row>
    <row r="152" spans="3:18" x14ac:dyDescent="0.3">
      <c r="C152" s="25"/>
      <c r="O152" s="14" t="s">
        <v>880</v>
      </c>
      <c r="P152" s="24">
        <v>4</v>
      </c>
      <c r="Q152" s="24">
        <v>2</v>
      </c>
      <c r="R152" s="25" cm="1">
        <f t="array" ref="R152">INDEX($C$3:$G$10,P152,Q152)</f>
        <v>17.060000000000002</v>
      </c>
    </row>
    <row r="153" spans="3:18" x14ac:dyDescent="0.3">
      <c r="C153" s="25"/>
      <c r="O153" s="14" t="s">
        <v>863</v>
      </c>
      <c r="P153" s="24">
        <v>6</v>
      </c>
      <c r="Q153" s="24">
        <v>3</v>
      </c>
      <c r="R153" s="25" cm="1">
        <f t="array" ref="R153">INDEX($C$3:$G$10,P153,Q153)</f>
        <v>28.53</v>
      </c>
    </row>
    <row r="154" spans="3:18" x14ac:dyDescent="0.3">
      <c r="C154" s="25"/>
      <c r="O154" s="14" t="s">
        <v>1253</v>
      </c>
      <c r="P154" s="24">
        <v>5</v>
      </c>
      <c r="Q154" s="24">
        <v>5</v>
      </c>
      <c r="R154" s="25" cm="1">
        <f t="array" ref="R154">INDEX($C$3:$G$10,P154,Q154)</f>
        <v>28.18</v>
      </c>
    </row>
    <row r="155" spans="3:18" x14ac:dyDescent="0.3">
      <c r="C155" s="25"/>
      <c r="O155" s="14" t="s">
        <v>1047</v>
      </c>
      <c r="P155" s="24">
        <v>7</v>
      </c>
      <c r="Q155" s="24">
        <v>1</v>
      </c>
      <c r="R155" s="25" cm="1">
        <f t="array" ref="R155">INDEX($C$3:$G$10,P155,Q155)</f>
        <v>23.99</v>
      </c>
    </row>
    <row r="156" spans="3:18" x14ac:dyDescent="0.3">
      <c r="C156" s="25"/>
      <c r="O156" s="14" t="s">
        <v>1037</v>
      </c>
      <c r="P156" s="24">
        <v>2</v>
      </c>
      <c r="Q156" s="24">
        <v>2</v>
      </c>
      <c r="R156" s="25" cm="1">
        <f t="array" ref="R156">INDEX($C$3:$G$10,P156,Q156)</f>
        <v>14.8</v>
      </c>
    </row>
    <row r="157" spans="3:18" x14ac:dyDescent="0.3">
      <c r="C157" s="25"/>
      <c r="O157" s="14" t="s">
        <v>865</v>
      </c>
      <c r="P157" s="24">
        <v>4</v>
      </c>
      <c r="Q157" s="24">
        <v>3</v>
      </c>
      <c r="R157" s="25" cm="1">
        <f t="array" ref="R157">INDEX($C$3:$G$10,P157,Q157)</f>
        <v>21.34</v>
      </c>
    </row>
    <row r="158" spans="3:18" x14ac:dyDescent="0.3">
      <c r="C158" s="25"/>
      <c r="O158" s="14" t="s">
        <v>989</v>
      </c>
      <c r="P158" s="24">
        <v>5</v>
      </c>
      <c r="Q158" s="24">
        <v>5</v>
      </c>
      <c r="R158" s="25" cm="1">
        <f t="array" ref="R158">INDEX($C$3:$G$10,P158,Q158)</f>
        <v>28.18</v>
      </c>
    </row>
    <row r="159" spans="3:18" x14ac:dyDescent="0.3">
      <c r="C159" s="25"/>
      <c r="O159" s="14" t="s">
        <v>1143</v>
      </c>
      <c r="P159" s="24">
        <v>2</v>
      </c>
      <c r="Q159" s="24">
        <v>4</v>
      </c>
      <c r="R159" s="25" cm="1">
        <f t="array" ref="R159">INDEX($C$3:$G$10,P159,Q159)</f>
        <v>17.53</v>
      </c>
    </row>
    <row r="160" spans="3:18" x14ac:dyDescent="0.3">
      <c r="C160" s="25"/>
      <c r="O160" s="14" t="s">
        <v>1066</v>
      </c>
      <c r="P160" s="24">
        <v>7</v>
      </c>
      <c r="Q160" s="24">
        <v>3</v>
      </c>
      <c r="R160" s="25" cm="1">
        <f t="array" ref="R160">INDEX($C$3:$G$10,P160,Q160)</f>
        <v>35.18</v>
      </c>
    </row>
    <row r="161" spans="3:18" x14ac:dyDescent="0.3">
      <c r="C161" s="25"/>
      <c r="O161" s="14" t="s">
        <v>953</v>
      </c>
      <c r="P161" s="24">
        <v>5</v>
      </c>
      <c r="Q161" s="24">
        <v>1</v>
      </c>
      <c r="R161" s="25" cm="1">
        <f t="array" ref="R161">INDEX($C$3:$G$10,P161,Q161)</f>
        <v>18.59</v>
      </c>
    </row>
    <row r="162" spans="3:18" x14ac:dyDescent="0.3">
      <c r="C162" s="25"/>
      <c r="O162" s="14" t="s">
        <v>929</v>
      </c>
      <c r="P162" s="24">
        <v>3</v>
      </c>
      <c r="Q162" s="24">
        <v>4</v>
      </c>
      <c r="R162" s="25" cm="1">
        <f t="array" ref="R162">INDEX($C$3:$G$10,P162,Q162)</f>
        <v>21.2</v>
      </c>
    </row>
    <row r="163" spans="3:18" x14ac:dyDescent="0.3">
      <c r="C163" s="25"/>
      <c r="O163" s="14" t="s">
        <v>1186</v>
      </c>
      <c r="P163" s="24">
        <v>4</v>
      </c>
      <c r="Q163" s="24">
        <v>2</v>
      </c>
      <c r="R163" s="25" cm="1">
        <f t="array" ref="R163">INDEX($C$3:$G$10,P163,Q163)</f>
        <v>17.060000000000002</v>
      </c>
    </row>
    <row r="164" spans="3:18" x14ac:dyDescent="0.3">
      <c r="C164" s="25"/>
      <c r="O164" s="14" t="s">
        <v>1111</v>
      </c>
      <c r="P164" s="24">
        <v>4</v>
      </c>
      <c r="Q164" s="24">
        <v>3</v>
      </c>
      <c r="R164" s="25" cm="1">
        <f t="array" ref="R164">INDEX($C$3:$G$10,P164,Q164)</f>
        <v>21.34</v>
      </c>
    </row>
    <row r="165" spans="3:18" x14ac:dyDescent="0.3">
      <c r="C165" s="25"/>
      <c r="O165" s="14" t="s">
        <v>1301</v>
      </c>
      <c r="P165" s="24">
        <v>4</v>
      </c>
      <c r="Q165" s="24">
        <v>4</v>
      </c>
      <c r="R165" s="25" cm="1">
        <f t="array" ref="R165">INDEX($C$3:$G$10,P165,Q165)</f>
        <v>23.4</v>
      </c>
    </row>
    <row r="166" spans="3:18" x14ac:dyDescent="0.3">
      <c r="C166" s="25"/>
      <c r="O166" s="14" t="s">
        <v>1087</v>
      </c>
      <c r="P166" s="24">
        <v>7</v>
      </c>
      <c r="Q166" s="24">
        <v>1</v>
      </c>
      <c r="R166" s="25" cm="1">
        <f t="array" ref="R166">INDEX($C$3:$G$10,P166,Q166)</f>
        <v>23.99</v>
      </c>
    </row>
    <row r="167" spans="3:18" x14ac:dyDescent="0.3">
      <c r="C167" s="25"/>
      <c r="O167" s="14" t="s">
        <v>1145</v>
      </c>
      <c r="P167" s="24">
        <v>2</v>
      </c>
      <c r="Q167" s="24">
        <v>1</v>
      </c>
      <c r="R167" s="25" cm="1">
        <f t="array" ref="R167">INDEX($C$3:$G$10,P167,Q167)</f>
        <v>14.51</v>
      </c>
    </row>
    <row r="168" spans="3:18" x14ac:dyDescent="0.3">
      <c r="C168" s="25"/>
      <c r="O168" s="14" t="s">
        <v>1235</v>
      </c>
      <c r="P168" s="24">
        <v>5</v>
      </c>
      <c r="Q168" s="24">
        <v>2</v>
      </c>
      <c r="R168" s="25" cm="1">
        <f t="array" ref="R168">INDEX($C$3:$G$10,P168,Q168)</f>
        <v>19.86</v>
      </c>
    </row>
    <row r="169" spans="3:18" x14ac:dyDescent="0.3">
      <c r="C169" s="25"/>
      <c r="O169" s="14" t="s">
        <v>946</v>
      </c>
      <c r="P169" s="24">
        <v>5</v>
      </c>
      <c r="Q169" s="24">
        <v>5</v>
      </c>
      <c r="R169" s="25" cm="1">
        <f t="array" ref="R169">INDEX($C$3:$G$10,P169,Q169)</f>
        <v>28.18</v>
      </c>
    </row>
    <row r="170" spans="3:18" x14ac:dyDescent="0.3">
      <c r="C170" s="25"/>
      <c r="O170" s="14" t="s">
        <v>1073</v>
      </c>
      <c r="P170" s="24">
        <v>2</v>
      </c>
      <c r="Q170" s="24">
        <v>3</v>
      </c>
      <c r="R170" s="25" cm="1">
        <f t="array" ref="R170">INDEX($C$3:$G$10,P170,Q170)</f>
        <v>15.32</v>
      </c>
    </row>
    <row r="171" spans="3:18" x14ac:dyDescent="0.3">
      <c r="C171" s="25"/>
      <c r="O171" s="14" t="s">
        <v>874</v>
      </c>
      <c r="P171" s="24">
        <v>1</v>
      </c>
      <c r="Q171" s="24">
        <v>4</v>
      </c>
      <c r="R171" s="25" cm="1">
        <f t="array" ref="R171">INDEX($C$3:$G$10,P171,Q171)</f>
        <v>18.25</v>
      </c>
    </row>
    <row r="172" spans="3:18" x14ac:dyDescent="0.3">
      <c r="C172" s="25"/>
      <c r="O172" s="14" t="s">
        <v>986</v>
      </c>
      <c r="P172" s="24">
        <v>1</v>
      </c>
      <c r="Q172" s="24">
        <v>2</v>
      </c>
      <c r="R172" s="25" cm="1">
        <f t="array" ref="R172">INDEX($C$3:$G$10,P172,Q172)</f>
        <v>11.18</v>
      </c>
    </row>
    <row r="173" spans="3:18" x14ac:dyDescent="0.3">
      <c r="C173" s="25"/>
      <c r="O173" s="14" t="s">
        <v>1100</v>
      </c>
      <c r="P173" s="24">
        <v>1</v>
      </c>
      <c r="Q173" s="24">
        <v>4</v>
      </c>
      <c r="R173" s="25" cm="1">
        <f t="array" ref="R173">INDEX($C$3:$G$10,P173,Q173)</f>
        <v>18.25</v>
      </c>
    </row>
    <row r="174" spans="3:18" x14ac:dyDescent="0.3">
      <c r="C174" s="25"/>
      <c r="O174" s="14" t="s">
        <v>1273</v>
      </c>
      <c r="P174" s="24">
        <v>6</v>
      </c>
      <c r="Q174" s="24">
        <v>1</v>
      </c>
      <c r="R174" s="25" cm="1">
        <f t="array" ref="R174">INDEX($C$3:$G$10,P174,Q174)</f>
        <v>21.52</v>
      </c>
    </row>
    <row r="175" spans="3:18" x14ac:dyDescent="0.3">
      <c r="C175" s="25"/>
      <c r="O175" s="14" t="s">
        <v>1161</v>
      </c>
      <c r="P175" s="24">
        <v>3</v>
      </c>
      <c r="Q175" s="24">
        <v>2</v>
      </c>
      <c r="R175" s="25" cm="1">
        <f t="array" ref="R175">INDEX($C$3:$G$10,P175,Q175)</f>
        <v>17.72</v>
      </c>
    </row>
    <row r="176" spans="3:18" x14ac:dyDescent="0.3">
      <c r="C176" s="25"/>
      <c r="O176" s="14" t="s">
        <v>1058</v>
      </c>
      <c r="P176" s="24">
        <v>3</v>
      </c>
      <c r="Q176" s="24">
        <v>5</v>
      </c>
      <c r="R176" s="25" cm="1">
        <f t="array" ref="R176">INDEX($C$3:$G$10,P176,Q176)</f>
        <v>24.52</v>
      </c>
    </row>
    <row r="177" spans="3:18" x14ac:dyDescent="0.3">
      <c r="C177" s="25"/>
      <c r="O177" s="14" t="s">
        <v>1195</v>
      </c>
      <c r="P177" s="24">
        <v>6</v>
      </c>
      <c r="Q177" s="24">
        <v>1</v>
      </c>
      <c r="R177" s="25" cm="1">
        <f t="array" ref="R177">INDEX($C$3:$G$10,P177,Q177)</f>
        <v>21.52</v>
      </c>
    </row>
    <row r="178" spans="3:18" x14ac:dyDescent="0.3">
      <c r="C178" s="25"/>
      <c r="O178" s="14" t="s">
        <v>1244</v>
      </c>
      <c r="P178" s="24">
        <v>5</v>
      </c>
      <c r="Q178" s="24">
        <v>1</v>
      </c>
      <c r="R178" s="25" cm="1">
        <f t="array" ref="R178">INDEX($C$3:$G$10,P178,Q178)</f>
        <v>18.59</v>
      </c>
    </row>
    <row r="179" spans="3:18" x14ac:dyDescent="0.3">
      <c r="C179" s="25"/>
      <c r="O179" s="14" t="s">
        <v>914</v>
      </c>
      <c r="P179" s="24">
        <v>8</v>
      </c>
      <c r="Q179" s="24">
        <v>2</v>
      </c>
      <c r="R179" s="25" cm="1">
        <f t="array" ref="R179">INDEX($C$3:$G$10,P179,Q179)</f>
        <v>34.97</v>
      </c>
    </row>
    <row r="180" spans="3:18" x14ac:dyDescent="0.3">
      <c r="C180" s="25"/>
      <c r="O180" s="14" t="s">
        <v>883</v>
      </c>
      <c r="P180" s="24">
        <v>8</v>
      </c>
      <c r="Q180" s="24">
        <v>1</v>
      </c>
      <c r="R180" s="25" cm="1">
        <f t="array" ref="R180">INDEX($C$3:$G$10,P180,Q180)</f>
        <v>31.18</v>
      </c>
    </row>
    <row r="181" spans="3:18" x14ac:dyDescent="0.3">
      <c r="C181" s="25"/>
      <c r="O181" s="14" t="s">
        <v>1057</v>
      </c>
      <c r="P181" s="24">
        <v>3</v>
      </c>
      <c r="Q181" s="24">
        <v>3</v>
      </c>
      <c r="R181" s="25" cm="1">
        <f t="array" ref="R181">INDEX($C$3:$G$10,P181,Q181)</f>
        <v>17.600000000000001</v>
      </c>
    </row>
    <row r="182" spans="3:18" x14ac:dyDescent="0.3">
      <c r="C182" s="25"/>
      <c r="O182" s="14" t="s">
        <v>1065</v>
      </c>
      <c r="P182" s="24">
        <v>5</v>
      </c>
      <c r="Q182" s="24">
        <v>1</v>
      </c>
      <c r="R182" s="25" cm="1">
        <f t="array" ref="R182">INDEX($C$3:$G$10,P182,Q182)</f>
        <v>18.59</v>
      </c>
    </row>
    <row r="183" spans="3:18" x14ac:dyDescent="0.3">
      <c r="C183" s="25"/>
      <c r="O183" s="14" t="s">
        <v>1101</v>
      </c>
      <c r="P183" s="24">
        <v>5</v>
      </c>
      <c r="Q183" s="24">
        <v>3</v>
      </c>
      <c r="R183" s="25" cm="1">
        <f t="array" ref="R183">INDEX($C$3:$G$10,P183,Q183)</f>
        <v>23.6</v>
      </c>
    </row>
    <row r="184" spans="3:18" x14ac:dyDescent="0.3">
      <c r="C184" s="25"/>
      <c r="O184" s="14" t="s">
        <v>1339</v>
      </c>
      <c r="P184" s="24">
        <v>7</v>
      </c>
      <c r="Q184" s="24">
        <v>5</v>
      </c>
      <c r="R184" s="25" cm="1">
        <f t="array" ref="R184">INDEX($C$3:$G$10,P184,Q184)</f>
        <v>41.2</v>
      </c>
    </row>
    <row r="185" spans="3:18" x14ac:dyDescent="0.3">
      <c r="C185" s="25"/>
      <c r="O185" s="14" t="s">
        <v>941</v>
      </c>
      <c r="P185" s="24">
        <v>8</v>
      </c>
      <c r="Q185" s="24">
        <v>4</v>
      </c>
      <c r="R185" s="25" cm="1">
        <f t="array" ref="R185">INDEX($C$3:$G$10,P185,Q185)</f>
        <v>47.19</v>
      </c>
    </row>
    <row r="186" spans="3:18" x14ac:dyDescent="0.3">
      <c r="C186" s="25"/>
      <c r="O186" s="14" t="s">
        <v>1321</v>
      </c>
      <c r="P186" s="24">
        <v>1</v>
      </c>
      <c r="Q186" s="24">
        <v>5</v>
      </c>
      <c r="R186" s="25" cm="1">
        <f t="array" ref="R186">INDEX($C$3:$G$10,P186,Q186)</f>
        <v>19.18</v>
      </c>
    </row>
    <row r="187" spans="3:18" x14ac:dyDescent="0.3">
      <c r="C187" s="25"/>
      <c r="O187" s="14" t="s">
        <v>1289</v>
      </c>
      <c r="P187" s="24">
        <v>5</v>
      </c>
      <c r="Q187" s="24">
        <v>3</v>
      </c>
      <c r="R187" s="25" cm="1">
        <f t="array" ref="R187">INDEX($C$3:$G$10,P187,Q187)</f>
        <v>23.6</v>
      </c>
    </row>
    <row r="188" spans="3:18" x14ac:dyDescent="0.3">
      <c r="C188" s="25"/>
      <c r="O188" s="14" t="s">
        <v>1217</v>
      </c>
      <c r="P188" s="24">
        <v>6</v>
      </c>
      <c r="Q188" s="24">
        <v>1</v>
      </c>
      <c r="R188" s="25" cm="1">
        <f t="array" ref="R188">INDEX($C$3:$G$10,P188,Q188)</f>
        <v>21.52</v>
      </c>
    </row>
    <row r="189" spans="3:18" x14ac:dyDescent="0.3">
      <c r="C189" s="25"/>
      <c r="O189" s="14" t="s">
        <v>1218</v>
      </c>
      <c r="P189" s="24">
        <v>6</v>
      </c>
      <c r="Q189" s="24">
        <v>4</v>
      </c>
      <c r="R189" s="25" cm="1">
        <f t="array" ref="R189">INDEX($C$3:$G$10,P189,Q189)</f>
        <v>31.92</v>
      </c>
    </row>
    <row r="190" spans="3:18" x14ac:dyDescent="0.3">
      <c r="C190" s="25"/>
      <c r="O190" s="14" t="s">
        <v>964</v>
      </c>
      <c r="P190" s="24">
        <v>2</v>
      </c>
      <c r="Q190" s="24">
        <v>1</v>
      </c>
      <c r="R190" s="25" cm="1">
        <f t="array" ref="R190">INDEX($C$3:$G$10,P190,Q190)</f>
        <v>14.51</v>
      </c>
    </row>
    <row r="191" spans="3:18" x14ac:dyDescent="0.3">
      <c r="O191" s="14" t="s">
        <v>1204</v>
      </c>
      <c r="P191" s="24">
        <v>5</v>
      </c>
      <c r="Q191" s="24">
        <v>4</v>
      </c>
      <c r="R191" s="25" cm="1">
        <f t="array" ref="R191">INDEX($C$3:$G$10,P191,Q191)</f>
        <v>30.27</v>
      </c>
    </row>
    <row r="192" spans="3:18" x14ac:dyDescent="0.3">
      <c r="O192" s="14" t="s">
        <v>1141</v>
      </c>
      <c r="P192" s="24">
        <v>6</v>
      </c>
      <c r="Q192" s="24">
        <v>2</v>
      </c>
      <c r="R192" s="25" cm="1">
        <f t="array" ref="R192">INDEX($C$3:$G$10,P192,Q192)</f>
        <v>24.2</v>
      </c>
    </row>
    <row r="193" spans="15:18" x14ac:dyDescent="0.3">
      <c r="O193" s="14" t="s">
        <v>1122</v>
      </c>
      <c r="P193" s="24">
        <v>5</v>
      </c>
      <c r="Q193" s="24">
        <v>1</v>
      </c>
      <c r="R193" s="25" cm="1">
        <f t="array" ref="R193">INDEX($C$3:$G$10,P193,Q193)</f>
        <v>18.59</v>
      </c>
    </row>
    <row r="194" spans="15:18" x14ac:dyDescent="0.3">
      <c r="O194" s="14" t="s">
        <v>1126</v>
      </c>
      <c r="P194" s="24">
        <v>6</v>
      </c>
      <c r="Q194" s="24">
        <v>3</v>
      </c>
      <c r="R194" s="25" cm="1">
        <f t="array" ref="R194">INDEX($C$3:$G$10,P194,Q194)</f>
        <v>28.53</v>
      </c>
    </row>
    <row r="195" spans="15:18" x14ac:dyDescent="0.3">
      <c r="O195" s="14" t="s">
        <v>1288</v>
      </c>
      <c r="P195" s="24">
        <v>3</v>
      </c>
      <c r="Q195" s="24">
        <v>3</v>
      </c>
      <c r="R195" s="25" cm="1">
        <f t="array" ref="R195">INDEX($C$3:$G$10,P195,Q195)</f>
        <v>17.600000000000001</v>
      </c>
    </row>
    <row r="196" spans="15:18" x14ac:dyDescent="0.3">
      <c r="O196" s="14" t="s">
        <v>1275</v>
      </c>
      <c r="P196" s="24">
        <v>2</v>
      </c>
      <c r="Q196" s="24">
        <v>1</v>
      </c>
      <c r="R196" s="25" cm="1">
        <f t="array" ref="R196">INDEX($C$3:$G$10,P196,Q196)</f>
        <v>14.51</v>
      </c>
    </row>
    <row r="197" spans="15:18" x14ac:dyDescent="0.3">
      <c r="O197" s="14" t="s">
        <v>932</v>
      </c>
      <c r="P197" s="24">
        <v>7</v>
      </c>
      <c r="Q197" s="24">
        <v>5</v>
      </c>
      <c r="R197" s="25" cm="1">
        <f t="array" ref="R197">INDEX($C$3:$G$10,P197,Q197)</f>
        <v>41.2</v>
      </c>
    </row>
    <row r="198" spans="15:18" x14ac:dyDescent="0.3">
      <c r="O198" s="14" t="s">
        <v>1198</v>
      </c>
      <c r="P198" s="24">
        <v>2</v>
      </c>
      <c r="Q198" s="24">
        <v>4</v>
      </c>
      <c r="R198" s="25" cm="1">
        <f t="array" ref="R198">INDEX($C$3:$G$10,P198,Q198)</f>
        <v>17.53</v>
      </c>
    </row>
    <row r="199" spans="15:18" x14ac:dyDescent="0.3">
      <c r="O199" s="14" t="s">
        <v>1163</v>
      </c>
      <c r="P199" s="24">
        <v>6</v>
      </c>
      <c r="Q199" s="24">
        <v>1</v>
      </c>
      <c r="R199" s="25" cm="1">
        <f t="array" ref="R199">INDEX($C$3:$G$10,P199,Q199)</f>
        <v>21.52</v>
      </c>
    </row>
    <row r="200" spans="15:18" x14ac:dyDescent="0.3">
      <c r="O200" s="14" t="s">
        <v>1305</v>
      </c>
      <c r="P200" s="24">
        <v>8</v>
      </c>
      <c r="Q200" s="24">
        <v>5</v>
      </c>
      <c r="R200" s="25" cm="1">
        <f t="array" ref="R200">INDEX($C$3:$G$10,P200,Q200)</f>
        <v>47.4</v>
      </c>
    </row>
    <row r="201" spans="15:18" x14ac:dyDescent="0.3">
      <c r="O201" s="14" t="s">
        <v>1325</v>
      </c>
      <c r="P201" s="24">
        <v>3</v>
      </c>
      <c r="Q201" s="24">
        <v>1</v>
      </c>
      <c r="R201" s="25" cm="1">
        <f t="array" ref="R201">INDEX($C$3:$G$10,P201,Q201)</f>
        <v>16.2</v>
      </c>
    </row>
    <row r="202" spans="15:18" x14ac:dyDescent="0.3">
      <c r="O202" s="14" t="s">
        <v>888</v>
      </c>
      <c r="P202" s="24">
        <v>7</v>
      </c>
      <c r="Q202" s="24">
        <v>1</v>
      </c>
      <c r="R202" s="25" cm="1">
        <f t="array" ref="R202">INDEX($C$3:$G$10,P202,Q202)</f>
        <v>23.99</v>
      </c>
    </row>
    <row r="203" spans="15:18" x14ac:dyDescent="0.3">
      <c r="O203" s="14" t="s">
        <v>1090</v>
      </c>
      <c r="P203" s="24">
        <v>4</v>
      </c>
      <c r="Q203" s="24">
        <v>2</v>
      </c>
      <c r="R203" s="25" cm="1">
        <f t="array" ref="R203">INDEX($C$3:$G$10,P203,Q203)</f>
        <v>17.060000000000002</v>
      </c>
    </row>
    <row r="204" spans="15:18" x14ac:dyDescent="0.3">
      <c r="O204" s="14" t="s">
        <v>897</v>
      </c>
      <c r="P204" s="24">
        <v>7</v>
      </c>
      <c r="Q204" s="24">
        <v>3</v>
      </c>
      <c r="R204" s="25" cm="1">
        <f t="array" ref="R204">INDEX($C$3:$G$10,P204,Q204)</f>
        <v>35.18</v>
      </c>
    </row>
    <row r="205" spans="15:18" x14ac:dyDescent="0.3">
      <c r="O205" s="14" t="s">
        <v>1024</v>
      </c>
      <c r="P205" s="24">
        <v>8</v>
      </c>
      <c r="Q205" s="24">
        <v>5</v>
      </c>
      <c r="R205" s="25" cm="1">
        <f t="array" ref="R205">INDEX($C$3:$G$10,P205,Q205)</f>
        <v>47.4</v>
      </c>
    </row>
    <row r="206" spans="15:18" x14ac:dyDescent="0.3">
      <c r="O206" s="14" t="s">
        <v>1298</v>
      </c>
      <c r="P206" s="24">
        <v>2</v>
      </c>
      <c r="Q206" s="24">
        <v>4</v>
      </c>
      <c r="R206" s="25" cm="1">
        <f t="array" ref="R206">INDEX($C$3:$G$10,P206,Q206)</f>
        <v>17.53</v>
      </c>
    </row>
    <row r="207" spans="15:18" x14ac:dyDescent="0.3">
      <c r="O207" s="14" t="s">
        <v>1287</v>
      </c>
      <c r="P207" s="24">
        <v>4</v>
      </c>
      <c r="Q207" s="24">
        <v>3</v>
      </c>
      <c r="R207" s="25" cm="1">
        <f t="array" ref="R207">INDEX($C$3:$G$10,P207,Q207)</f>
        <v>21.34</v>
      </c>
    </row>
    <row r="208" spans="15:18" x14ac:dyDescent="0.3">
      <c r="O208" s="14" t="s">
        <v>1151</v>
      </c>
      <c r="P208" s="24">
        <v>5</v>
      </c>
      <c r="Q208" s="24">
        <v>5</v>
      </c>
      <c r="R208" s="25" cm="1">
        <f t="array" ref="R208">INDEX($C$3:$G$10,P208,Q208)</f>
        <v>28.18</v>
      </c>
    </row>
    <row r="209" spans="15:18" x14ac:dyDescent="0.3">
      <c r="O209" s="14" t="s">
        <v>1040</v>
      </c>
      <c r="P209" s="24">
        <v>2</v>
      </c>
      <c r="Q209" s="24">
        <v>5</v>
      </c>
      <c r="R209" s="25" cm="1">
        <f t="array" ref="R209">INDEX($C$3:$G$10,P209,Q209)</f>
        <v>21.59</v>
      </c>
    </row>
    <row r="210" spans="15:18" x14ac:dyDescent="0.3">
      <c r="O210" s="14" t="s">
        <v>1115</v>
      </c>
      <c r="P210" s="24">
        <v>7</v>
      </c>
      <c r="Q210" s="24">
        <v>2</v>
      </c>
      <c r="R210" s="25" cm="1">
        <f t="array" ref="R210">INDEX($C$3:$G$10,P210,Q210)</f>
        <v>28.19</v>
      </c>
    </row>
    <row r="211" spans="15:18" x14ac:dyDescent="0.3">
      <c r="O211" s="14" t="s">
        <v>1263</v>
      </c>
      <c r="P211" s="24">
        <v>3</v>
      </c>
      <c r="Q211" s="24">
        <v>1</v>
      </c>
      <c r="R211" s="25" cm="1">
        <f t="array" ref="R211">INDEX($C$3:$G$10,P211,Q211)</f>
        <v>16.2</v>
      </c>
    </row>
    <row r="212" spans="15:18" x14ac:dyDescent="0.3">
      <c r="O212" s="14" t="s">
        <v>1214</v>
      </c>
      <c r="P212" s="24">
        <v>4</v>
      </c>
      <c r="Q212" s="24">
        <v>5</v>
      </c>
      <c r="R212" s="25" cm="1">
        <f t="array" ref="R212">INDEX($C$3:$G$10,P212,Q212)</f>
        <v>23.99</v>
      </c>
    </row>
    <row r="213" spans="15:18" x14ac:dyDescent="0.3">
      <c r="O213" s="14" t="s">
        <v>1114</v>
      </c>
      <c r="P213" s="24">
        <v>3</v>
      </c>
      <c r="Q213" s="24">
        <v>5</v>
      </c>
      <c r="R213" s="25" cm="1">
        <f t="array" ref="R213">INDEX($C$3:$G$10,P213,Q213)</f>
        <v>24.52</v>
      </c>
    </row>
    <row r="214" spans="15:18" x14ac:dyDescent="0.3">
      <c r="O214" s="14" t="s">
        <v>1191</v>
      </c>
      <c r="P214" s="24">
        <v>3</v>
      </c>
      <c r="Q214" s="24">
        <v>5</v>
      </c>
      <c r="R214" s="25" cm="1">
        <f t="array" ref="R214">INDEX($C$3:$G$10,P214,Q214)</f>
        <v>24.52</v>
      </c>
    </row>
    <row r="215" spans="15:18" x14ac:dyDescent="0.3">
      <c r="O215" s="14" t="s">
        <v>1067</v>
      </c>
      <c r="P215" s="24">
        <v>2</v>
      </c>
      <c r="Q215" s="24">
        <v>2</v>
      </c>
      <c r="R215" s="25" cm="1">
        <f t="array" ref="R215">INDEX($C$3:$G$10,P215,Q215)</f>
        <v>14.8</v>
      </c>
    </row>
    <row r="216" spans="15:18" x14ac:dyDescent="0.3">
      <c r="O216" s="14" t="s">
        <v>962</v>
      </c>
      <c r="P216" s="24">
        <v>4</v>
      </c>
      <c r="Q216" s="24">
        <v>2</v>
      </c>
      <c r="R216" s="25" cm="1">
        <f t="array" ref="R216">INDEX($C$3:$G$10,P216,Q216)</f>
        <v>17.060000000000002</v>
      </c>
    </row>
    <row r="217" spans="15:18" x14ac:dyDescent="0.3">
      <c r="O217" s="14" t="s">
        <v>917</v>
      </c>
      <c r="P217" s="24">
        <v>5</v>
      </c>
      <c r="Q217" s="24">
        <v>3</v>
      </c>
      <c r="R217" s="25" cm="1">
        <f t="array" ref="R217">INDEX($C$3:$G$10,P217,Q217)</f>
        <v>23.6</v>
      </c>
    </row>
    <row r="218" spans="15:18" x14ac:dyDescent="0.3">
      <c r="O218" s="14" t="s">
        <v>1343</v>
      </c>
      <c r="P218" s="24">
        <v>7</v>
      </c>
      <c r="Q218" s="24">
        <v>2</v>
      </c>
      <c r="R218" s="25" cm="1">
        <f t="array" ref="R218">INDEX($C$3:$G$10,P218,Q218)</f>
        <v>28.19</v>
      </c>
    </row>
    <row r="219" spans="15:18" x14ac:dyDescent="0.3">
      <c r="O219" s="14" t="s">
        <v>1097</v>
      </c>
      <c r="P219" s="24">
        <v>1</v>
      </c>
      <c r="Q219" s="24">
        <v>5</v>
      </c>
      <c r="R219" s="25" cm="1">
        <f t="array" ref="R219">INDEX($C$3:$G$10,P219,Q219)</f>
        <v>19.18</v>
      </c>
    </row>
    <row r="220" spans="15:18" x14ac:dyDescent="0.3">
      <c r="O220" s="14" t="s">
        <v>1268</v>
      </c>
      <c r="P220" s="24">
        <v>3</v>
      </c>
      <c r="Q220" s="24">
        <v>1</v>
      </c>
      <c r="R220" s="25" cm="1">
        <f t="array" ref="R220">INDEX($C$3:$G$10,P220,Q220)</f>
        <v>16.2</v>
      </c>
    </row>
    <row r="221" spans="15:18" x14ac:dyDescent="0.3">
      <c r="O221" s="14" t="s">
        <v>1285</v>
      </c>
      <c r="P221" s="24">
        <v>2</v>
      </c>
      <c r="Q221" s="24">
        <v>3</v>
      </c>
      <c r="R221" s="25" cm="1">
        <f t="array" ref="R221">INDEX($C$3:$G$10,P221,Q221)</f>
        <v>15.32</v>
      </c>
    </row>
    <row r="222" spans="15:18" x14ac:dyDescent="0.3">
      <c r="O222" s="14" t="s">
        <v>868</v>
      </c>
      <c r="P222" s="24">
        <v>4</v>
      </c>
      <c r="Q222" s="24">
        <v>5</v>
      </c>
      <c r="R222" s="25" cm="1">
        <f t="array" ref="R222">INDEX($C$3:$G$10,P222,Q222)</f>
        <v>23.99</v>
      </c>
    </row>
    <row r="223" spans="15:18" x14ac:dyDescent="0.3">
      <c r="O223" s="14" t="s">
        <v>1232</v>
      </c>
      <c r="P223" s="24">
        <v>5</v>
      </c>
      <c r="Q223" s="24">
        <v>4</v>
      </c>
      <c r="R223" s="25" cm="1">
        <f t="array" ref="R223">INDEX($C$3:$G$10,P223,Q223)</f>
        <v>30.27</v>
      </c>
    </row>
    <row r="224" spans="15:18" x14ac:dyDescent="0.3">
      <c r="O224" s="14" t="s">
        <v>951</v>
      </c>
      <c r="P224" s="24">
        <v>1</v>
      </c>
      <c r="Q224" s="24">
        <v>1</v>
      </c>
      <c r="R224" s="25" cm="1">
        <f t="array" ref="R224">INDEX($C$3:$G$10,P224,Q224)</f>
        <v>13.129999999999999</v>
      </c>
    </row>
    <row r="225" spans="15:18" x14ac:dyDescent="0.3">
      <c r="O225" s="14" t="s">
        <v>916</v>
      </c>
      <c r="P225" s="24">
        <v>4</v>
      </c>
      <c r="Q225" s="24">
        <v>3</v>
      </c>
      <c r="R225" s="25" cm="1">
        <f t="array" ref="R225">INDEX($C$3:$G$10,P225,Q225)</f>
        <v>21.34</v>
      </c>
    </row>
    <row r="226" spans="15:18" x14ac:dyDescent="0.3">
      <c r="O226" s="14" t="s">
        <v>1139</v>
      </c>
      <c r="P226" s="24">
        <v>6</v>
      </c>
      <c r="Q226" s="24">
        <v>1</v>
      </c>
      <c r="R226" s="25" cm="1">
        <f t="array" ref="R226">INDEX($C$3:$G$10,P226,Q226)</f>
        <v>21.52</v>
      </c>
    </row>
    <row r="227" spans="15:18" x14ac:dyDescent="0.3">
      <c r="O227" s="14" t="s">
        <v>1038</v>
      </c>
      <c r="P227" s="24">
        <v>7</v>
      </c>
      <c r="Q227" s="24">
        <v>3</v>
      </c>
      <c r="R227" s="25" cm="1">
        <f t="array" ref="R227">INDEX($C$3:$G$10,P227,Q227)</f>
        <v>35.18</v>
      </c>
    </row>
    <row r="228" spans="15:18" x14ac:dyDescent="0.3">
      <c r="O228" s="14" t="s">
        <v>1012</v>
      </c>
      <c r="P228" s="24">
        <v>8</v>
      </c>
      <c r="Q228" s="24">
        <v>1</v>
      </c>
      <c r="R228" s="25" cm="1">
        <f t="array" ref="R228">INDEX($C$3:$G$10,P228,Q228)</f>
        <v>31.18</v>
      </c>
    </row>
    <row r="229" spans="15:18" x14ac:dyDescent="0.3">
      <c r="O229" s="14" t="s">
        <v>952</v>
      </c>
      <c r="P229" s="24">
        <v>8</v>
      </c>
      <c r="Q229" s="24">
        <v>3</v>
      </c>
      <c r="R229" s="25" cm="1">
        <f t="array" ref="R229">INDEX($C$3:$G$10,P229,Q229)</f>
        <v>38.79</v>
      </c>
    </row>
    <row r="230" spans="15:18" x14ac:dyDescent="0.3">
      <c r="O230" s="14" t="s">
        <v>1184</v>
      </c>
      <c r="P230" s="24">
        <v>4</v>
      </c>
      <c r="Q230" s="24">
        <v>4</v>
      </c>
      <c r="R230" s="25" cm="1">
        <f t="array" ref="R230">INDEX($C$3:$G$10,P230,Q230)</f>
        <v>23.4</v>
      </c>
    </row>
    <row r="231" spans="15:18" x14ac:dyDescent="0.3">
      <c r="O231" s="14" t="s">
        <v>1127</v>
      </c>
      <c r="P231" s="24">
        <v>3</v>
      </c>
      <c r="Q231" s="24">
        <v>4</v>
      </c>
      <c r="R231" s="25" cm="1">
        <f t="array" ref="R231">INDEX($C$3:$G$10,P231,Q231)</f>
        <v>21.2</v>
      </c>
    </row>
    <row r="232" spans="15:18" x14ac:dyDescent="0.3">
      <c r="O232" s="14" t="s">
        <v>1200</v>
      </c>
      <c r="P232" s="24">
        <v>3</v>
      </c>
      <c r="Q232" s="24">
        <v>4</v>
      </c>
      <c r="R232" s="25" cm="1">
        <f t="array" ref="R232">INDEX($C$3:$G$10,P232,Q232)</f>
        <v>21.2</v>
      </c>
    </row>
    <row r="233" spans="15:18" x14ac:dyDescent="0.3">
      <c r="O233" s="14" t="s">
        <v>1157</v>
      </c>
      <c r="P233" s="24">
        <v>7</v>
      </c>
      <c r="Q233" s="24">
        <v>5</v>
      </c>
      <c r="R233" s="25" cm="1">
        <f t="array" ref="R233">INDEX($C$3:$G$10,P233,Q233)</f>
        <v>41.2</v>
      </c>
    </row>
    <row r="234" spans="15:18" x14ac:dyDescent="0.3">
      <c r="O234" s="14" t="s">
        <v>871</v>
      </c>
      <c r="P234" s="24">
        <v>8</v>
      </c>
      <c r="Q234" s="24">
        <v>1</v>
      </c>
      <c r="R234" s="25" cm="1">
        <f t="array" ref="R234">INDEX($C$3:$G$10,P234,Q234)</f>
        <v>31.18</v>
      </c>
    </row>
    <row r="235" spans="15:18" x14ac:dyDescent="0.3">
      <c r="O235" s="14" t="s">
        <v>987</v>
      </c>
      <c r="P235" s="24">
        <v>6</v>
      </c>
      <c r="Q235" s="24">
        <v>4</v>
      </c>
      <c r="R235" s="25" cm="1">
        <f t="array" ref="R235">INDEX($C$3:$G$10,P235,Q235)</f>
        <v>31.92</v>
      </c>
    </row>
    <row r="236" spans="15:18" x14ac:dyDescent="0.3">
      <c r="O236" s="14" t="s">
        <v>1103</v>
      </c>
      <c r="P236" s="24">
        <v>8</v>
      </c>
      <c r="Q236" s="24">
        <v>2</v>
      </c>
      <c r="R236" s="25" cm="1">
        <f t="array" ref="R236">INDEX($C$3:$G$10,P236,Q236)</f>
        <v>34.97</v>
      </c>
    </row>
    <row r="237" spans="15:18" x14ac:dyDescent="0.3">
      <c r="O237" s="14" t="s">
        <v>1243</v>
      </c>
      <c r="P237" s="24">
        <v>2</v>
      </c>
      <c r="Q237" s="24">
        <v>3</v>
      </c>
      <c r="R237" s="25" cm="1">
        <f t="array" ref="R237">INDEX($C$3:$G$10,P237,Q237)</f>
        <v>15.32</v>
      </c>
    </row>
    <row r="238" spans="15:18" x14ac:dyDescent="0.3">
      <c r="O238" s="14" t="s">
        <v>950</v>
      </c>
      <c r="P238" s="24">
        <v>7</v>
      </c>
      <c r="Q238" s="24">
        <v>4</v>
      </c>
      <c r="R238" s="25" cm="1">
        <f t="array" ref="R238">INDEX($C$3:$G$10,P238,Q238)</f>
        <v>36.53</v>
      </c>
    </row>
    <row r="239" spans="15:18" x14ac:dyDescent="0.3">
      <c r="O239" s="14" t="s">
        <v>907</v>
      </c>
      <c r="P239" s="24">
        <v>3</v>
      </c>
      <c r="Q239" s="24">
        <v>5</v>
      </c>
      <c r="R239" s="25" cm="1">
        <f t="array" ref="R239">INDEX($C$3:$G$10,P239,Q239)</f>
        <v>24.52</v>
      </c>
    </row>
    <row r="240" spans="15:18" x14ac:dyDescent="0.3">
      <c r="O240" s="14" t="s">
        <v>1153</v>
      </c>
      <c r="P240" s="24">
        <v>3</v>
      </c>
      <c r="Q240" s="24">
        <v>3</v>
      </c>
      <c r="R240" s="25" cm="1">
        <f t="array" ref="R240">INDEX($C$3:$G$10,P240,Q240)</f>
        <v>17.600000000000001</v>
      </c>
    </row>
    <row r="241" spans="15:18" x14ac:dyDescent="0.3">
      <c r="O241" s="14" t="s">
        <v>1096</v>
      </c>
      <c r="P241" s="24">
        <v>4</v>
      </c>
      <c r="Q241" s="24">
        <v>1</v>
      </c>
      <c r="R241" s="25" cm="1">
        <f t="array" ref="R241">INDEX($C$3:$G$10,P241,Q241)</f>
        <v>16.18</v>
      </c>
    </row>
    <row r="242" spans="15:18" x14ac:dyDescent="0.3">
      <c r="O242" s="14" t="s">
        <v>1095</v>
      </c>
      <c r="P242" s="24">
        <v>4</v>
      </c>
      <c r="Q242" s="24">
        <v>5</v>
      </c>
      <c r="R242" s="25" cm="1">
        <f t="array" ref="R242">INDEX($C$3:$G$10,P242,Q242)</f>
        <v>23.99</v>
      </c>
    </row>
    <row r="243" spans="15:18" x14ac:dyDescent="0.3">
      <c r="O243" s="14" t="s">
        <v>1239</v>
      </c>
      <c r="P243" s="24">
        <v>4</v>
      </c>
      <c r="Q243" s="24">
        <v>4</v>
      </c>
      <c r="R243" s="25" cm="1">
        <f t="array" ref="R243">INDEX($C$3:$G$10,P243,Q243)</f>
        <v>23.4</v>
      </c>
    </row>
    <row r="244" spans="15:18" x14ac:dyDescent="0.3">
      <c r="O244" s="14" t="s">
        <v>1278</v>
      </c>
      <c r="P244" s="24">
        <v>5</v>
      </c>
      <c r="Q244" s="24">
        <v>5</v>
      </c>
      <c r="R244" s="25" cm="1">
        <f t="array" ref="R244">INDEX($C$3:$G$10,P244,Q244)</f>
        <v>28.18</v>
      </c>
    </row>
    <row r="245" spans="15:18" x14ac:dyDescent="0.3">
      <c r="O245" s="14" t="s">
        <v>1207</v>
      </c>
      <c r="P245" s="24">
        <v>2</v>
      </c>
      <c r="Q245" s="24">
        <v>5</v>
      </c>
      <c r="R245" s="25" cm="1">
        <f t="array" ref="R245">INDEX($C$3:$G$10,P245,Q245)</f>
        <v>21.59</v>
      </c>
    </row>
    <row r="246" spans="15:18" x14ac:dyDescent="0.3">
      <c r="O246" s="14" t="s">
        <v>1104</v>
      </c>
      <c r="P246" s="24">
        <v>8</v>
      </c>
      <c r="Q246" s="24">
        <v>1</v>
      </c>
      <c r="R246" s="25" cm="1">
        <f t="array" ref="R246">INDEX($C$3:$G$10,P246,Q246)</f>
        <v>31.18</v>
      </c>
    </row>
    <row r="247" spans="15:18" x14ac:dyDescent="0.3">
      <c r="O247" s="14" t="s">
        <v>876</v>
      </c>
      <c r="P247" s="24">
        <v>1</v>
      </c>
      <c r="Q247" s="24">
        <v>2</v>
      </c>
      <c r="R247" s="25" cm="1">
        <f t="array" ref="R247">INDEX($C$3:$G$10,P247,Q247)</f>
        <v>11.18</v>
      </c>
    </row>
    <row r="248" spans="15:18" x14ac:dyDescent="0.3">
      <c r="O248" s="14" t="s">
        <v>861</v>
      </c>
      <c r="P248" s="24">
        <v>6</v>
      </c>
      <c r="Q248" s="24">
        <v>3</v>
      </c>
      <c r="R248" s="25" cm="1">
        <f t="array" ref="R248">INDEX($C$3:$G$10,P248,Q248)</f>
        <v>28.53</v>
      </c>
    </row>
    <row r="249" spans="15:18" x14ac:dyDescent="0.3">
      <c r="O249" s="14" t="s">
        <v>1213</v>
      </c>
      <c r="P249" s="24">
        <v>8</v>
      </c>
      <c r="Q249" s="24">
        <v>3</v>
      </c>
      <c r="R249" s="25" cm="1">
        <f t="array" ref="R249">INDEX($C$3:$G$10,P249,Q249)</f>
        <v>38.79</v>
      </c>
    </row>
    <row r="250" spans="15:18" x14ac:dyDescent="0.3">
      <c r="O250" s="14" t="s">
        <v>896</v>
      </c>
      <c r="P250" s="24">
        <v>3</v>
      </c>
      <c r="Q250" s="24">
        <v>4</v>
      </c>
      <c r="R250" s="25" cm="1">
        <f t="array" ref="R250">INDEX($C$3:$G$10,P250,Q250)</f>
        <v>21.2</v>
      </c>
    </row>
    <row r="251" spans="15:18" x14ac:dyDescent="0.3">
      <c r="O251" s="14" t="s">
        <v>1056</v>
      </c>
      <c r="P251" s="24">
        <v>5</v>
      </c>
      <c r="Q251" s="24">
        <v>5</v>
      </c>
      <c r="R251" s="25" cm="1">
        <f t="array" ref="R251">INDEX($C$3:$G$10,P251,Q251)</f>
        <v>28.18</v>
      </c>
    </row>
    <row r="252" spans="15:18" x14ac:dyDescent="0.3">
      <c r="O252" s="14" t="s">
        <v>1041</v>
      </c>
      <c r="P252" s="24">
        <v>6</v>
      </c>
      <c r="Q252" s="24">
        <v>2</v>
      </c>
      <c r="R252" s="25" cm="1">
        <f t="array" ref="R252">INDEX($C$3:$G$10,P252,Q252)</f>
        <v>24.2</v>
      </c>
    </row>
    <row r="253" spans="15:18" x14ac:dyDescent="0.3">
      <c r="O253" s="14" t="s">
        <v>1269</v>
      </c>
      <c r="P253" s="24">
        <v>7</v>
      </c>
      <c r="Q253" s="24">
        <v>5</v>
      </c>
      <c r="R253" s="25" cm="1">
        <f t="array" ref="R253">INDEX($C$3:$G$10,P253,Q253)</f>
        <v>41.2</v>
      </c>
    </row>
    <row r="254" spans="15:18" x14ac:dyDescent="0.3">
      <c r="O254" s="14" t="s">
        <v>1082</v>
      </c>
      <c r="P254" s="24">
        <v>1</v>
      </c>
      <c r="Q254" s="24">
        <v>1</v>
      </c>
      <c r="R254" s="25" cm="1">
        <f t="array" ref="R254">INDEX($C$3:$G$10,P254,Q254)</f>
        <v>13.129999999999999</v>
      </c>
    </row>
    <row r="255" spans="15:18" x14ac:dyDescent="0.3">
      <c r="O255" s="14" t="s">
        <v>1238</v>
      </c>
      <c r="P255" s="24">
        <v>8</v>
      </c>
      <c r="Q255" s="24">
        <v>3</v>
      </c>
      <c r="R255" s="25" cm="1">
        <f t="array" ref="R255">INDEX($C$3:$G$10,P255,Q255)</f>
        <v>38.79</v>
      </c>
    </row>
    <row r="256" spans="15:18" x14ac:dyDescent="0.3">
      <c r="O256" s="14" t="s">
        <v>1342</v>
      </c>
      <c r="P256" s="24">
        <v>2</v>
      </c>
      <c r="Q256" s="24">
        <v>2</v>
      </c>
      <c r="R256" s="25" cm="1">
        <f t="array" ref="R256">INDEX($C$3:$G$10,P256,Q256)</f>
        <v>14.8</v>
      </c>
    </row>
    <row r="257" spans="15:18" x14ac:dyDescent="0.3">
      <c r="O257" s="14" t="s">
        <v>862</v>
      </c>
      <c r="P257" s="24">
        <v>4</v>
      </c>
      <c r="Q257" s="24">
        <v>4</v>
      </c>
      <c r="R257" s="25" cm="1">
        <f t="array" ref="R257">INDEX($C$3:$G$10,P257,Q257)</f>
        <v>23.4</v>
      </c>
    </row>
    <row r="258" spans="15:18" x14ac:dyDescent="0.3">
      <c r="O258" s="14" t="s">
        <v>1055</v>
      </c>
      <c r="P258" s="24">
        <v>6</v>
      </c>
      <c r="Q258" s="24">
        <v>5</v>
      </c>
      <c r="R258" s="25" cm="1">
        <f t="array" ref="R258">INDEX($C$3:$G$10,P258,Q258)</f>
        <v>37.200000000000003</v>
      </c>
    </row>
    <row r="259" spans="15:18" x14ac:dyDescent="0.3">
      <c r="O259" s="14" t="s">
        <v>1007</v>
      </c>
      <c r="P259" s="24">
        <v>2</v>
      </c>
      <c r="Q259" s="24">
        <v>5</v>
      </c>
      <c r="R259" s="25" cm="1">
        <f t="array" ref="R259">INDEX($C$3:$G$10,P259,Q259)</f>
        <v>21.59</v>
      </c>
    </row>
    <row r="260" spans="15:18" x14ac:dyDescent="0.3">
      <c r="O260" s="14" t="s">
        <v>1345</v>
      </c>
      <c r="P260" s="24">
        <v>6</v>
      </c>
      <c r="Q260" s="24">
        <v>4</v>
      </c>
      <c r="R260" s="25" cm="1">
        <f t="array" ref="R260">INDEX($C$3:$G$10,P260,Q260)</f>
        <v>31.92</v>
      </c>
    </row>
    <row r="261" spans="15:18" x14ac:dyDescent="0.3">
      <c r="O261" s="14" t="s">
        <v>1212</v>
      </c>
      <c r="P261" s="24">
        <v>5</v>
      </c>
      <c r="Q261" s="24">
        <v>5</v>
      </c>
      <c r="R261" s="25" cm="1">
        <f t="array" ref="R261">INDEX($C$3:$G$10,P261,Q261)</f>
        <v>28.18</v>
      </c>
    </row>
    <row r="262" spans="15:18" x14ac:dyDescent="0.3">
      <c r="O262" s="14" t="s">
        <v>967</v>
      </c>
      <c r="P262" s="24">
        <v>2</v>
      </c>
      <c r="Q262" s="24">
        <v>4</v>
      </c>
      <c r="R262" s="25" cm="1">
        <f t="array" ref="R262">INDEX($C$3:$G$10,P262,Q262)</f>
        <v>17.53</v>
      </c>
    </row>
    <row r="263" spans="15:18" x14ac:dyDescent="0.3">
      <c r="O263" s="14" t="s">
        <v>956</v>
      </c>
      <c r="P263" s="24">
        <v>6</v>
      </c>
      <c r="Q263" s="24">
        <v>3</v>
      </c>
      <c r="R263" s="25" cm="1">
        <f t="array" ref="R263">INDEX($C$3:$G$10,P263,Q263)</f>
        <v>28.53</v>
      </c>
    </row>
    <row r="264" spans="15:18" x14ac:dyDescent="0.3">
      <c r="O264" s="14" t="s">
        <v>1074</v>
      </c>
      <c r="P264" s="24">
        <v>1</v>
      </c>
      <c r="Q264" s="24">
        <v>4</v>
      </c>
      <c r="R264" s="25" cm="1">
        <f t="array" ref="R264">INDEX($C$3:$G$10,P264,Q264)</f>
        <v>18.25</v>
      </c>
    </row>
    <row r="265" spans="15:18" x14ac:dyDescent="0.3">
      <c r="O265" s="14" t="s">
        <v>1277</v>
      </c>
      <c r="P265" s="24">
        <v>2</v>
      </c>
      <c r="Q265" s="24">
        <v>3</v>
      </c>
      <c r="R265" s="25" cm="1">
        <f t="array" ref="R265">INDEX($C$3:$G$10,P265,Q265)</f>
        <v>15.32</v>
      </c>
    </row>
    <row r="266" spans="15:18" x14ac:dyDescent="0.3">
      <c r="O266" s="14" t="s">
        <v>1314</v>
      </c>
      <c r="P266" s="24">
        <v>6</v>
      </c>
      <c r="Q266" s="24">
        <v>2</v>
      </c>
      <c r="R266" s="25" cm="1">
        <f t="array" ref="R266">INDEX($C$3:$G$10,P266,Q266)</f>
        <v>24.2</v>
      </c>
    </row>
    <row r="267" spans="15:18" x14ac:dyDescent="0.3">
      <c r="O267" s="14" t="s">
        <v>1079</v>
      </c>
      <c r="P267" s="24">
        <v>8</v>
      </c>
      <c r="Q267" s="24">
        <v>3</v>
      </c>
      <c r="R267" s="25" cm="1">
        <f t="array" ref="R267">INDEX($C$3:$G$10,P267,Q267)</f>
        <v>38.79</v>
      </c>
    </row>
    <row r="268" spans="15:18" x14ac:dyDescent="0.3">
      <c r="O268" s="14" t="s">
        <v>1149</v>
      </c>
      <c r="P268" s="24">
        <v>3</v>
      </c>
      <c r="Q268" s="24">
        <v>4</v>
      </c>
      <c r="R268" s="25" cm="1">
        <f t="array" ref="R268">INDEX($C$3:$G$10,P268,Q268)</f>
        <v>21.2</v>
      </c>
    </row>
    <row r="269" spans="15:18" x14ac:dyDescent="0.3">
      <c r="O269" s="14" t="s">
        <v>1045</v>
      </c>
      <c r="P269" s="24">
        <v>6</v>
      </c>
      <c r="Q269" s="24">
        <v>5</v>
      </c>
      <c r="R269" s="25" cm="1">
        <f t="array" ref="R269">INDEX($C$3:$G$10,P269,Q269)</f>
        <v>37.200000000000003</v>
      </c>
    </row>
    <row r="270" spans="15:18" x14ac:dyDescent="0.3">
      <c r="O270" s="14" t="s">
        <v>1083</v>
      </c>
      <c r="P270" s="24">
        <v>6</v>
      </c>
      <c r="Q270" s="24">
        <v>4</v>
      </c>
      <c r="R270" s="25" cm="1">
        <f t="array" ref="R270">INDEX($C$3:$G$10,P270,Q270)</f>
        <v>31.92</v>
      </c>
    </row>
    <row r="271" spans="15:18" x14ac:dyDescent="0.3">
      <c r="O271" s="14" t="s">
        <v>864</v>
      </c>
      <c r="P271" s="24">
        <v>6</v>
      </c>
      <c r="Q271" s="24">
        <v>5</v>
      </c>
      <c r="R271" s="25" cm="1">
        <f t="array" ref="R271">INDEX($C$3:$G$10,P271,Q271)</f>
        <v>37.200000000000003</v>
      </c>
    </row>
    <row r="272" spans="15:18" x14ac:dyDescent="0.3">
      <c r="O272" s="14" t="s">
        <v>1319</v>
      </c>
      <c r="P272" s="24">
        <v>1</v>
      </c>
      <c r="Q272" s="24">
        <v>2</v>
      </c>
      <c r="R272" s="25" cm="1">
        <f t="array" ref="R272">INDEX($C$3:$G$10,P272,Q272)</f>
        <v>11.18</v>
      </c>
    </row>
    <row r="273" spans="15:18" x14ac:dyDescent="0.3">
      <c r="O273" s="14" t="s">
        <v>1183</v>
      </c>
      <c r="P273" s="24">
        <v>1</v>
      </c>
      <c r="Q273" s="24">
        <v>4</v>
      </c>
      <c r="R273" s="25" cm="1">
        <f t="array" ref="R273">INDEX($C$3:$G$10,P273,Q273)</f>
        <v>18.25</v>
      </c>
    </row>
    <row r="274" spans="15:18" x14ac:dyDescent="0.3">
      <c r="O274" s="14" t="s">
        <v>875</v>
      </c>
      <c r="P274" s="24">
        <v>3</v>
      </c>
      <c r="Q274" s="24">
        <v>3</v>
      </c>
      <c r="R274" s="25" cm="1">
        <f t="array" ref="R274">INDEX($C$3:$G$10,P274,Q274)</f>
        <v>17.600000000000001</v>
      </c>
    </row>
    <row r="275" spans="15:18" x14ac:dyDescent="0.3">
      <c r="O275" s="14" t="s">
        <v>1010</v>
      </c>
      <c r="P275" s="24">
        <v>8</v>
      </c>
      <c r="Q275" s="24">
        <v>1</v>
      </c>
      <c r="R275" s="25" cm="1">
        <f t="array" ref="R275">INDEX($C$3:$G$10,P275,Q275)</f>
        <v>31.18</v>
      </c>
    </row>
    <row r="276" spans="15:18" x14ac:dyDescent="0.3">
      <c r="O276" s="14" t="s">
        <v>1223</v>
      </c>
      <c r="P276" s="24">
        <v>2</v>
      </c>
      <c r="Q276" s="24">
        <v>3</v>
      </c>
      <c r="R276" s="25" cm="1">
        <f t="array" ref="R276">INDEX($C$3:$G$10,P276,Q276)</f>
        <v>15.32</v>
      </c>
    </row>
    <row r="277" spans="15:18" x14ac:dyDescent="0.3">
      <c r="O277" s="14" t="s">
        <v>972</v>
      </c>
      <c r="P277" s="24">
        <v>2</v>
      </c>
      <c r="Q277" s="24">
        <v>2</v>
      </c>
      <c r="R277" s="25" cm="1">
        <f t="array" ref="R277">INDEX($C$3:$G$10,P277,Q277)</f>
        <v>14.8</v>
      </c>
    </row>
    <row r="278" spans="15:18" x14ac:dyDescent="0.3">
      <c r="O278" s="14" t="s">
        <v>1222</v>
      </c>
      <c r="P278" s="24">
        <v>5</v>
      </c>
      <c r="Q278" s="24">
        <v>4</v>
      </c>
      <c r="R278" s="25" cm="1">
        <f t="array" ref="R278">INDEX($C$3:$G$10,P278,Q278)</f>
        <v>30.27</v>
      </c>
    </row>
    <row r="279" spans="15:18" x14ac:dyDescent="0.3">
      <c r="O279" s="14" t="s">
        <v>889</v>
      </c>
      <c r="P279" s="24">
        <v>3</v>
      </c>
      <c r="Q279" s="24">
        <v>1</v>
      </c>
      <c r="R279" s="25" cm="1">
        <f t="array" ref="R279">INDEX($C$3:$G$10,P279,Q279)</f>
        <v>16.2</v>
      </c>
    </row>
    <row r="280" spans="15:18" x14ac:dyDescent="0.3">
      <c r="O280" s="14" t="s">
        <v>935</v>
      </c>
      <c r="P280" s="24">
        <v>2</v>
      </c>
      <c r="Q280" s="24">
        <v>3</v>
      </c>
      <c r="R280" s="25" cm="1">
        <f t="array" ref="R280">INDEX($C$3:$G$10,P280,Q280)</f>
        <v>15.32</v>
      </c>
    </row>
    <row r="281" spans="15:18" x14ac:dyDescent="0.3">
      <c r="O281" s="14" t="s">
        <v>991</v>
      </c>
      <c r="P281" s="24">
        <v>8</v>
      </c>
      <c r="Q281" s="24">
        <v>4</v>
      </c>
      <c r="R281" s="25" cm="1">
        <f t="array" ref="R281">INDEX($C$3:$G$10,P281,Q281)</f>
        <v>47.19</v>
      </c>
    </row>
    <row r="282" spans="15:18" x14ac:dyDescent="0.3">
      <c r="O282" s="14" t="s">
        <v>1092</v>
      </c>
      <c r="P282" s="24">
        <v>2</v>
      </c>
      <c r="Q282" s="24">
        <v>2</v>
      </c>
      <c r="R282" s="25" cm="1">
        <f t="array" ref="R282">INDEX($C$3:$G$10,P282,Q282)</f>
        <v>14.8</v>
      </c>
    </row>
    <row r="283" spans="15:18" x14ac:dyDescent="0.3">
      <c r="O283" s="14" t="s">
        <v>1341</v>
      </c>
      <c r="P283" s="24">
        <v>1</v>
      </c>
      <c r="Q283" s="24">
        <v>2</v>
      </c>
      <c r="R283" s="25" cm="1">
        <f t="array" ref="R283">INDEX($C$3:$G$10,P283,Q283)</f>
        <v>11.18</v>
      </c>
    </row>
    <row r="284" spans="15:18" x14ac:dyDescent="0.3">
      <c r="O284" s="14" t="s">
        <v>936</v>
      </c>
      <c r="P284" s="24">
        <v>6</v>
      </c>
      <c r="Q284" s="24">
        <v>1</v>
      </c>
      <c r="R284" s="25" cm="1">
        <f t="array" ref="R284">INDEX($C$3:$G$10,P284,Q284)</f>
        <v>21.52</v>
      </c>
    </row>
    <row r="285" spans="15:18" x14ac:dyDescent="0.3">
      <c r="O285" s="14" t="s">
        <v>891</v>
      </c>
      <c r="P285" s="24">
        <v>6</v>
      </c>
      <c r="Q285" s="24">
        <v>5</v>
      </c>
      <c r="R285" s="25" cm="1">
        <f t="array" ref="R285">INDEX($C$3:$G$10,P285,Q285)</f>
        <v>37.200000000000003</v>
      </c>
    </row>
    <row r="286" spans="15:18" x14ac:dyDescent="0.3">
      <c r="O286" s="14" t="s">
        <v>1172</v>
      </c>
      <c r="P286" s="24">
        <v>8</v>
      </c>
      <c r="Q286" s="24">
        <v>1</v>
      </c>
      <c r="R286" s="25" cm="1">
        <f t="array" ref="R286">INDEX($C$3:$G$10,P286,Q286)</f>
        <v>31.18</v>
      </c>
    </row>
    <row r="287" spans="15:18" x14ac:dyDescent="0.3">
      <c r="O287" s="14" t="s">
        <v>998</v>
      </c>
      <c r="P287" s="24">
        <v>5</v>
      </c>
      <c r="Q287" s="24">
        <v>1</v>
      </c>
      <c r="R287" s="25" cm="1">
        <f t="array" ref="R287">INDEX($C$3:$G$10,P287,Q287)</f>
        <v>18.59</v>
      </c>
    </row>
    <row r="288" spans="15:18" x14ac:dyDescent="0.3">
      <c r="O288" s="14" t="s">
        <v>1261</v>
      </c>
      <c r="P288" s="24">
        <v>3</v>
      </c>
      <c r="Q288" s="24">
        <v>1</v>
      </c>
      <c r="R288" s="25" cm="1">
        <f t="array" ref="R288">INDEX($C$3:$G$10,P288,Q288)</f>
        <v>16.2</v>
      </c>
    </row>
    <row r="289" spans="15:18" x14ac:dyDescent="0.3">
      <c r="O289" s="14" t="s">
        <v>1227</v>
      </c>
      <c r="P289" s="24">
        <v>1</v>
      </c>
      <c r="Q289" s="24">
        <v>4</v>
      </c>
      <c r="R289" s="25" cm="1">
        <f t="array" ref="R289">INDEX($C$3:$G$10,P289,Q289)</f>
        <v>18.25</v>
      </c>
    </row>
    <row r="290" spans="15:18" x14ac:dyDescent="0.3">
      <c r="O290" s="14" t="s">
        <v>996</v>
      </c>
      <c r="P290" s="24">
        <v>5</v>
      </c>
      <c r="Q290" s="24">
        <v>2</v>
      </c>
      <c r="R290" s="25" cm="1">
        <f t="array" ref="R290">INDEX($C$3:$G$10,P290,Q290)</f>
        <v>19.86</v>
      </c>
    </row>
    <row r="291" spans="15:18" x14ac:dyDescent="0.3">
      <c r="O291" s="14" t="s">
        <v>995</v>
      </c>
      <c r="P291" s="24">
        <v>2</v>
      </c>
      <c r="Q291" s="24">
        <v>4</v>
      </c>
      <c r="R291" s="25" cm="1">
        <f t="array" ref="R291">INDEX($C$3:$G$10,P291,Q291)</f>
        <v>17.53</v>
      </c>
    </row>
    <row r="292" spans="15:18" x14ac:dyDescent="0.3">
      <c r="O292" s="14" t="s">
        <v>1154</v>
      </c>
      <c r="P292" s="24">
        <v>8</v>
      </c>
      <c r="Q292" s="24">
        <v>1</v>
      </c>
      <c r="R292" s="25" cm="1">
        <f t="array" ref="R292">INDEX($C$3:$G$10,P292,Q292)</f>
        <v>31.18</v>
      </c>
    </row>
    <row r="293" spans="15:18" x14ac:dyDescent="0.3">
      <c r="O293" s="14" t="s">
        <v>1229</v>
      </c>
      <c r="P293" s="24">
        <v>3</v>
      </c>
      <c r="Q293" s="24">
        <v>4</v>
      </c>
      <c r="R293" s="25" cm="1">
        <f t="array" ref="R293">INDEX($C$3:$G$10,P293,Q293)</f>
        <v>21.2</v>
      </c>
    </row>
    <row r="294" spans="15:18" x14ac:dyDescent="0.3">
      <c r="O294" s="14" t="s">
        <v>1005</v>
      </c>
      <c r="P294" s="24">
        <v>8</v>
      </c>
      <c r="Q294" s="24">
        <v>1</v>
      </c>
      <c r="R294" s="25" cm="1">
        <f t="array" ref="R294">INDEX($C$3:$G$10,P294,Q294)</f>
        <v>31.18</v>
      </c>
    </row>
    <row r="295" spans="15:18" x14ac:dyDescent="0.3">
      <c r="O295" s="14" t="s">
        <v>1168</v>
      </c>
      <c r="P295" s="24">
        <v>1</v>
      </c>
      <c r="Q295" s="24">
        <v>4</v>
      </c>
      <c r="R295" s="25" cm="1">
        <f t="array" ref="R295">INDEX($C$3:$G$10,P295,Q295)</f>
        <v>18.25</v>
      </c>
    </row>
    <row r="296" spans="15:18" x14ac:dyDescent="0.3">
      <c r="O296" s="14" t="s">
        <v>960</v>
      </c>
      <c r="P296" s="24">
        <v>4</v>
      </c>
      <c r="Q296" s="24">
        <v>2</v>
      </c>
      <c r="R296" s="25" cm="1">
        <f t="array" ref="R296">INDEX($C$3:$G$10,P296,Q296)</f>
        <v>17.060000000000002</v>
      </c>
    </row>
    <row r="297" spans="15:18" x14ac:dyDescent="0.3">
      <c r="O297" s="14" t="s">
        <v>1230</v>
      </c>
      <c r="P297" s="24">
        <v>7</v>
      </c>
      <c r="Q297" s="24">
        <v>4</v>
      </c>
      <c r="R297" s="25" cm="1">
        <f t="array" ref="R297">INDEX($C$3:$G$10,P297,Q297)</f>
        <v>36.53</v>
      </c>
    </row>
    <row r="298" spans="15:18" x14ac:dyDescent="0.3">
      <c r="O298" s="14" t="s">
        <v>1347</v>
      </c>
      <c r="P298" s="24">
        <v>6</v>
      </c>
      <c r="Q298" s="24">
        <v>2</v>
      </c>
      <c r="R298" s="25" cm="1">
        <f t="array" ref="R298">INDEX($C$3:$G$10,P298,Q298)</f>
        <v>24.2</v>
      </c>
    </row>
    <row r="299" spans="15:18" x14ac:dyDescent="0.3">
      <c r="O299" s="14" t="s">
        <v>1039</v>
      </c>
      <c r="P299" s="24">
        <v>2</v>
      </c>
      <c r="Q299" s="24">
        <v>3</v>
      </c>
      <c r="R299" s="25" cm="1">
        <f t="array" ref="R299">INDEX($C$3:$G$10,P299,Q299)</f>
        <v>15.32</v>
      </c>
    </row>
    <row r="300" spans="15:18" x14ac:dyDescent="0.3">
      <c r="O300" s="14" t="s">
        <v>1140</v>
      </c>
      <c r="P300" s="24">
        <v>4</v>
      </c>
      <c r="Q300" s="24">
        <v>2</v>
      </c>
      <c r="R300" s="25" cm="1">
        <f t="array" ref="R300">INDEX($C$3:$G$10,P300,Q300)</f>
        <v>17.060000000000002</v>
      </c>
    </row>
    <row r="301" spans="15:18" x14ac:dyDescent="0.3">
      <c r="O301" s="14" t="s">
        <v>1266</v>
      </c>
      <c r="P301" s="24">
        <v>4</v>
      </c>
      <c r="Q301" s="24">
        <v>4</v>
      </c>
      <c r="R301" s="25" cm="1">
        <f t="array" ref="R301">INDEX($C$3:$G$10,P301,Q301)</f>
        <v>23.4</v>
      </c>
    </row>
    <row r="302" spans="15:18" x14ac:dyDescent="0.3">
      <c r="O302" s="14" t="s">
        <v>1233</v>
      </c>
      <c r="P302" s="24">
        <v>4</v>
      </c>
      <c r="Q302" s="24">
        <v>5</v>
      </c>
      <c r="R302" s="25" cm="1">
        <f t="array" ref="R302">INDEX($C$3:$G$10,P302,Q302)</f>
        <v>23.99</v>
      </c>
    </row>
    <row r="303" spans="15:18" x14ac:dyDescent="0.3">
      <c r="O303" s="14" t="s">
        <v>1110</v>
      </c>
      <c r="P303" s="24">
        <v>4</v>
      </c>
      <c r="Q303" s="24">
        <v>2</v>
      </c>
      <c r="R303" s="25" cm="1">
        <f t="array" ref="R303">INDEX($C$3:$G$10,P303,Q303)</f>
        <v>17.060000000000002</v>
      </c>
    </row>
    <row r="304" spans="15:18" x14ac:dyDescent="0.3">
      <c r="O304" s="14" t="s">
        <v>1257</v>
      </c>
      <c r="P304" s="24">
        <v>8</v>
      </c>
      <c r="Q304" s="24">
        <v>4</v>
      </c>
      <c r="R304" s="25" cm="1">
        <f t="array" ref="R304">INDEX($C$3:$G$10,P304,Q304)</f>
        <v>47.19</v>
      </c>
    </row>
    <row r="305" spans="15:18" x14ac:dyDescent="0.3">
      <c r="O305" s="14" t="s">
        <v>1254</v>
      </c>
      <c r="P305" s="24">
        <v>7</v>
      </c>
      <c r="Q305" s="24">
        <v>4</v>
      </c>
      <c r="R305" s="25" cm="1">
        <f t="array" ref="R305">INDEX($C$3:$G$10,P305,Q305)</f>
        <v>36.53</v>
      </c>
    </row>
    <row r="306" spans="15:18" x14ac:dyDescent="0.3">
      <c r="O306" s="14" t="s">
        <v>857</v>
      </c>
      <c r="P306" s="24">
        <v>3</v>
      </c>
      <c r="Q306" s="24">
        <v>1</v>
      </c>
      <c r="R306" s="25" cm="1">
        <f t="array" ref="R306">INDEX($C$3:$G$10,P306,Q306)</f>
        <v>16.2</v>
      </c>
    </row>
    <row r="307" spans="15:18" x14ac:dyDescent="0.3">
      <c r="O307" s="14" t="s">
        <v>1029</v>
      </c>
      <c r="P307" s="24">
        <v>8</v>
      </c>
      <c r="Q307" s="24">
        <v>5</v>
      </c>
      <c r="R307" s="25" cm="1">
        <f t="array" ref="R307">INDEX($C$3:$G$10,P307,Q307)</f>
        <v>47.4</v>
      </c>
    </row>
    <row r="308" spans="15:18" x14ac:dyDescent="0.3">
      <c r="O308" s="14" t="s">
        <v>1174</v>
      </c>
      <c r="P308" s="24">
        <v>8</v>
      </c>
      <c r="Q308" s="24">
        <v>5</v>
      </c>
      <c r="R308" s="25" cm="1">
        <f t="array" ref="R308">INDEX($C$3:$G$10,P308,Q308)</f>
        <v>47.4</v>
      </c>
    </row>
    <row r="309" spans="15:18" x14ac:dyDescent="0.3">
      <c r="O309" s="14" t="s">
        <v>1072</v>
      </c>
      <c r="P309" s="24">
        <v>2</v>
      </c>
      <c r="Q309" s="24">
        <v>4</v>
      </c>
      <c r="R309" s="25" cm="1">
        <f t="array" ref="R309">INDEX($C$3:$G$10,P309,Q309)</f>
        <v>17.53</v>
      </c>
    </row>
    <row r="310" spans="15:18" x14ac:dyDescent="0.3">
      <c r="O310" s="14" t="s">
        <v>1049</v>
      </c>
      <c r="P310" s="24">
        <v>7</v>
      </c>
      <c r="Q310" s="24">
        <v>2</v>
      </c>
      <c r="R310" s="25" cm="1">
        <f t="array" ref="R310">INDEX($C$3:$G$10,P310,Q310)</f>
        <v>28.19</v>
      </c>
    </row>
    <row r="311" spans="15:18" x14ac:dyDescent="0.3">
      <c r="O311" s="14" t="s">
        <v>910</v>
      </c>
      <c r="P311" s="24">
        <v>8</v>
      </c>
      <c r="Q311" s="24">
        <v>1</v>
      </c>
      <c r="R311" s="25" cm="1">
        <f t="array" ref="R311">INDEX($C$3:$G$10,P311,Q311)</f>
        <v>31.18</v>
      </c>
    </row>
    <row r="312" spans="15:18" x14ac:dyDescent="0.3">
      <c r="O312" s="14" t="s">
        <v>1125</v>
      </c>
      <c r="P312" s="24">
        <v>4</v>
      </c>
      <c r="Q312" s="24">
        <v>1</v>
      </c>
      <c r="R312" s="25" cm="1">
        <f t="array" ref="R312">INDEX($C$3:$G$10,P312,Q312)</f>
        <v>16.18</v>
      </c>
    </row>
    <row r="313" spans="15:18" x14ac:dyDescent="0.3">
      <c r="O313" s="14" t="s">
        <v>1147</v>
      </c>
      <c r="P313" s="24">
        <v>6</v>
      </c>
      <c r="Q313" s="24">
        <v>3</v>
      </c>
      <c r="R313" s="25" cm="1">
        <f t="array" ref="R313">INDEX($C$3:$G$10,P313,Q313)</f>
        <v>28.53</v>
      </c>
    </row>
    <row r="314" spans="15:18" x14ac:dyDescent="0.3">
      <c r="O314" s="14" t="s">
        <v>1017</v>
      </c>
      <c r="P314" s="24">
        <v>7</v>
      </c>
      <c r="Q314" s="24">
        <v>4</v>
      </c>
      <c r="R314" s="25" cm="1">
        <f t="array" ref="R314">INDEX($C$3:$G$10,P314,Q314)</f>
        <v>36.53</v>
      </c>
    </row>
    <row r="315" spans="15:18" x14ac:dyDescent="0.3">
      <c r="O315" s="14" t="s">
        <v>957</v>
      </c>
      <c r="P315" s="24">
        <v>1</v>
      </c>
      <c r="Q315" s="24">
        <v>3</v>
      </c>
      <c r="R315" s="25" cm="1">
        <f t="array" ref="R315">INDEX($C$3:$G$10,P315,Q315)</f>
        <v>14.47</v>
      </c>
    </row>
    <row r="316" spans="15:18" x14ac:dyDescent="0.3">
      <c r="O316" s="14" t="s">
        <v>1032</v>
      </c>
      <c r="P316" s="24">
        <v>1</v>
      </c>
      <c r="Q316" s="24">
        <v>3</v>
      </c>
      <c r="R316" s="25" cm="1">
        <f t="array" ref="R316">INDEX($C$3:$G$10,P316,Q316)</f>
        <v>14.47</v>
      </c>
    </row>
    <row r="317" spans="15:18" x14ac:dyDescent="0.3">
      <c r="O317" s="14" t="s">
        <v>867</v>
      </c>
      <c r="P317" s="24">
        <v>3</v>
      </c>
      <c r="Q317" s="24">
        <v>4</v>
      </c>
      <c r="R317" s="25" cm="1">
        <f t="array" ref="R317">INDEX($C$3:$G$10,P317,Q317)</f>
        <v>21.2</v>
      </c>
    </row>
    <row r="318" spans="15:18" x14ac:dyDescent="0.3">
      <c r="O318" s="14" t="s">
        <v>944</v>
      </c>
      <c r="P318" s="24">
        <v>5</v>
      </c>
      <c r="Q318" s="24">
        <v>1</v>
      </c>
      <c r="R318" s="25" cm="1">
        <f t="array" ref="R318">INDEX($C$3:$G$10,P318,Q318)</f>
        <v>18.59</v>
      </c>
    </row>
    <row r="319" spans="15:18" x14ac:dyDescent="0.3">
      <c r="O319" s="14" t="s">
        <v>1299</v>
      </c>
      <c r="P319" s="24">
        <v>7</v>
      </c>
      <c r="Q319" s="24">
        <v>3</v>
      </c>
      <c r="R319" s="25" cm="1">
        <f t="array" ref="R319">INDEX($C$3:$G$10,P319,Q319)</f>
        <v>35.18</v>
      </c>
    </row>
    <row r="320" spans="15:18" x14ac:dyDescent="0.3">
      <c r="O320" s="14" t="s">
        <v>1181</v>
      </c>
      <c r="P320" s="24">
        <v>1</v>
      </c>
      <c r="Q320" s="24">
        <v>5</v>
      </c>
      <c r="R320" s="25" cm="1">
        <f t="array" ref="R320">INDEX($C$3:$G$10,P320,Q320)</f>
        <v>19.18</v>
      </c>
    </row>
    <row r="321" spans="15:18" x14ac:dyDescent="0.3">
      <c r="O321" s="14" t="s">
        <v>920</v>
      </c>
      <c r="P321" s="24">
        <v>6</v>
      </c>
      <c r="Q321" s="24">
        <v>4</v>
      </c>
      <c r="R321" s="25" cm="1">
        <f t="array" ref="R321">INDEX($C$3:$G$10,P321,Q321)</f>
        <v>31.92</v>
      </c>
    </row>
    <row r="322" spans="15:18" x14ac:dyDescent="0.3">
      <c r="O322" s="14" t="s">
        <v>1054</v>
      </c>
      <c r="P322" s="24">
        <v>6</v>
      </c>
      <c r="Q322" s="24">
        <v>3</v>
      </c>
      <c r="R322" s="25" cm="1">
        <f t="array" ref="R322">INDEX($C$3:$G$10,P322,Q322)</f>
        <v>28.53</v>
      </c>
    </row>
    <row r="323" spans="15:18" x14ac:dyDescent="0.3">
      <c r="O323" s="14" t="s">
        <v>1197</v>
      </c>
      <c r="P323" s="24">
        <v>1</v>
      </c>
      <c r="Q323" s="24">
        <v>5</v>
      </c>
      <c r="R323" s="25" cm="1">
        <f t="array" ref="R323">INDEX($C$3:$G$10,P323,Q323)</f>
        <v>19.18</v>
      </c>
    </row>
    <row r="324" spans="15:18" x14ac:dyDescent="0.3">
      <c r="O324" s="14" t="s">
        <v>1267</v>
      </c>
      <c r="P324" s="24">
        <v>6</v>
      </c>
      <c r="Q324" s="24">
        <v>2</v>
      </c>
      <c r="R324" s="25" cm="1">
        <f t="array" ref="R324">INDEX($C$3:$G$10,P324,Q324)</f>
        <v>24.2</v>
      </c>
    </row>
    <row r="325" spans="15:18" x14ac:dyDescent="0.3">
      <c r="O325" s="14" t="s">
        <v>870</v>
      </c>
      <c r="P325" s="24">
        <v>1</v>
      </c>
      <c r="Q325" s="24">
        <v>4</v>
      </c>
      <c r="R325" s="25" cm="1">
        <f t="array" ref="R325">INDEX($C$3:$G$10,P325,Q325)</f>
        <v>18.25</v>
      </c>
    </row>
    <row r="326" spans="15:18" x14ac:dyDescent="0.3">
      <c r="O326" s="14" t="s">
        <v>1176</v>
      </c>
      <c r="P326" s="24">
        <v>3</v>
      </c>
      <c r="Q326" s="24">
        <v>2</v>
      </c>
      <c r="R326" s="25" cm="1">
        <f t="array" ref="R326">INDEX($C$3:$G$10,P326,Q326)</f>
        <v>17.72</v>
      </c>
    </row>
    <row r="327" spans="15:18" x14ac:dyDescent="0.3">
      <c r="O327" s="14" t="s">
        <v>1315</v>
      </c>
      <c r="P327" s="24">
        <v>5</v>
      </c>
      <c r="Q327" s="24">
        <v>2</v>
      </c>
      <c r="R327" s="25" cm="1">
        <f t="array" ref="R327">INDEX($C$3:$G$10,P327,Q327)</f>
        <v>19.86</v>
      </c>
    </row>
    <row r="328" spans="15:18" x14ac:dyDescent="0.3">
      <c r="O328" s="14" t="s">
        <v>1043</v>
      </c>
      <c r="P328" s="24">
        <v>5</v>
      </c>
      <c r="Q328" s="24">
        <v>5</v>
      </c>
      <c r="R328" s="25" cm="1">
        <f t="array" ref="R328">INDEX($C$3:$G$10,P328,Q328)</f>
        <v>28.18</v>
      </c>
    </row>
    <row r="329" spans="15:18" x14ac:dyDescent="0.3">
      <c r="O329" s="14" t="s">
        <v>1271</v>
      </c>
      <c r="P329" s="24">
        <v>6</v>
      </c>
      <c r="Q329" s="24">
        <v>2</v>
      </c>
      <c r="R329" s="25" cm="1">
        <f t="array" ref="R329">INDEX($C$3:$G$10,P329,Q329)</f>
        <v>24.2</v>
      </c>
    </row>
    <row r="330" spans="15:18" x14ac:dyDescent="0.3">
      <c r="O330" s="14" t="s">
        <v>1025</v>
      </c>
      <c r="P330" s="24">
        <v>3</v>
      </c>
      <c r="Q330" s="24">
        <v>3</v>
      </c>
      <c r="R330" s="25" cm="1">
        <f t="array" ref="R330">INDEX($C$3:$G$10,P330,Q330)</f>
        <v>17.600000000000001</v>
      </c>
    </row>
    <row r="331" spans="15:18" x14ac:dyDescent="0.3">
      <c r="O331" s="14" t="s">
        <v>1136</v>
      </c>
      <c r="P331" s="24">
        <v>6</v>
      </c>
      <c r="Q331" s="24">
        <v>2</v>
      </c>
      <c r="R331" s="25" cm="1">
        <f t="array" ref="R331">INDEX($C$3:$G$10,P331,Q331)</f>
        <v>24.2</v>
      </c>
    </row>
    <row r="332" spans="15:18" x14ac:dyDescent="0.3">
      <c r="O332" s="14" t="s">
        <v>1133</v>
      </c>
      <c r="P332" s="24">
        <v>7</v>
      </c>
      <c r="Q332" s="24">
        <v>3</v>
      </c>
      <c r="R332" s="25" cm="1">
        <f t="array" ref="R332">INDEX($C$3:$G$10,P332,Q332)</f>
        <v>35.18</v>
      </c>
    </row>
    <row r="333" spans="15:18" x14ac:dyDescent="0.3">
      <c r="O333" s="14" t="s">
        <v>1320</v>
      </c>
      <c r="P333" s="24">
        <v>3</v>
      </c>
      <c r="Q333" s="24">
        <v>1</v>
      </c>
      <c r="R333" s="25" cm="1">
        <f t="array" ref="R333">INDEX($C$3:$G$10,P333,Q333)</f>
        <v>16.2</v>
      </c>
    </row>
    <row r="334" spans="15:18" x14ac:dyDescent="0.3">
      <c r="O334" s="14" t="s">
        <v>922</v>
      </c>
      <c r="P334" s="24">
        <v>2</v>
      </c>
      <c r="Q334" s="24">
        <v>1</v>
      </c>
      <c r="R334" s="25" cm="1">
        <f t="array" ref="R334">INDEX($C$3:$G$10,P334,Q334)</f>
        <v>14.51</v>
      </c>
    </row>
    <row r="335" spans="15:18" x14ac:dyDescent="0.3">
      <c r="O335" s="14" t="s">
        <v>942</v>
      </c>
      <c r="P335" s="24">
        <v>1</v>
      </c>
      <c r="Q335" s="24">
        <v>3</v>
      </c>
      <c r="R335" s="25" cm="1">
        <f t="array" ref="R335">INDEX($C$3:$G$10,P335,Q335)</f>
        <v>14.47</v>
      </c>
    </row>
    <row r="336" spans="15:18" x14ac:dyDescent="0.3">
      <c r="O336" s="14" t="s">
        <v>1016</v>
      </c>
      <c r="P336" s="24">
        <v>6</v>
      </c>
      <c r="Q336" s="24">
        <v>3</v>
      </c>
      <c r="R336" s="25" cm="1">
        <f t="array" ref="R336">INDEX($C$3:$G$10,P336,Q336)</f>
        <v>28.53</v>
      </c>
    </row>
    <row r="337" spans="15:18" x14ac:dyDescent="0.3">
      <c r="O337" s="14" t="s">
        <v>1330</v>
      </c>
      <c r="P337" s="24">
        <v>4</v>
      </c>
      <c r="Q337" s="24">
        <v>1</v>
      </c>
      <c r="R337" s="25" cm="1">
        <f t="array" ref="R337">INDEX($C$3:$G$10,P337,Q337)</f>
        <v>16.18</v>
      </c>
    </row>
    <row r="338" spans="15:18" x14ac:dyDescent="0.3">
      <c r="O338" s="14" t="s">
        <v>1302</v>
      </c>
      <c r="P338" s="24">
        <v>8</v>
      </c>
      <c r="Q338" s="24">
        <v>3</v>
      </c>
      <c r="R338" s="25" cm="1">
        <f t="array" ref="R338">INDEX($C$3:$G$10,P338,Q338)</f>
        <v>38.79</v>
      </c>
    </row>
    <row r="339" spans="15:18" x14ac:dyDescent="0.3">
      <c r="O339" s="14" t="s">
        <v>1123</v>
      </c>
      <c r="P339" s="24">
        <v>2</v>
      </c>
      <c r="Q339" s="24">
        <v>1</v>
      </c>
      <c r="R339" s="25" cm="1">
        <f t="array" ref="R339">INDEX($C$3:$G$10,P339,Q339)</f>
        <v>14.51</v>
      </c>
    </row>
    <row r="340" spans="15:18" x14ac:dyDescent="0.3">
      <c r="O340" s="14" t="s">
        <v>1282</v>
      </c>
      <c r="P340" s="24">
        <v>5</v>
      </c>
      <c r="Q340" s="24">
        <v>1</v>
      </c>
      <c r="R340" s="25" cm="1">
        <f t="array" ref="R340">INDEX($C$3:$G$10,P340,Q340)</f>
        <v>18.59</v>
      </c>
    </row>
    <row r="341" spans="15:18" x14ac:dyDescent="0.3">
      <c r="O341" s="14" t="s">
        <v>999</v>
      </c>
      <c r="P341" s="24">
        <v>4</v>
      </c>
      <c r="Q341" s="24">
        <v>2</v>
      </c>
      <c r="R341" s="25" cm="1">
        <f t="array" ref="R341">INDEX($C$3:$G$10,P341,Q341)</f>
        <v>17.060000000000002</v>
      </c>
    </row>
    <row r="342" spans="15:18" x14ac:dyDescent="0.3">
      <c r="O342" s="14" t="s">
        <v>877</v>
      </c>
      <c r="P342" s="24">
        <v>5</v>
      </c>
      <c r="Q342" s="24">
        <v>1</v>
      </c>
      <c r="R342" s="25" cm="1">
        <f t="array" ref="R342">INDEX($C$3:$G$10,P342,Q342)</f>
        <v>18.59</v>
      </c>
    </row>
    <row r="343" spans="15:18" x14ac:dyDescent="0.3">
      <c r="O343" s="14" t="s">
        <v>978</v>
      </c>
      <c r="P343" s="24">
        <v>6</v>
      </c>
      <c r="Q343" s="24">
        <v>2</v>
      </c>
      <c r="R343" s="25" cm="1">
        <f t="array" ref="R343">INDEX($C$3:$G$10,P343,Q343)</f>
        <v>24.2</v>
      </c>
    </row>
    <row r="344" spans="15:18" x14ac:dyDescent="0.3">
      <c r="O344" s="14" t="s">
        <v>955</v>
      </c>
      <c r="P344" s="24">
        <v>5</v>
      </c>
      <c r="Q344" s="24">
        <v>2</v>
      </c>
      <c r="R344" s="25" cm="1">
        <f t="array" ref="R344">INDEX($C$3:$G$10,P344,Q344)</f>
        <v>19.86</v>
      </c>
    </row>
    <row r="345" spans="15:18" x14ac:dyDescent="0.3">
      <c r="O345" s="14" t="s">
        <v>1294</v>
      </c>
      <c r="P345" s="24">
        <v>4</v>
      </c>
      <c r="Q345" s="24">
        <v>2</v>
      </c>
      <c r="R345" s="25" cm="1">
        <f t="array" ref="R345">INDEX($C$3:$G$10,P345,Q345)</f>
        <v>17.060000000000002</v>
      </c>
    </row>
    <row r="346" spans="15:18" x14ac:dyDescent="0.3">
      <c r="O346" s="14" t="s">
        <v>1120</v>
      </c>
      <c r="P346" s="24">
        <v>8</v>
      </c>
      <c r="Q346" s="24">
        <v>2</v>
      </c>
      <c r="R346" s="25" cm="1">
        <f t="array" ref="R346">INDEX($C$3:$G$10,P346,Q346)</f>
        <v>34.97</v>
      </c>
    </row>
    <row r="347" spans="15:18" x14ac:dyDescent="0.3">
      <c r="O347" s="14" t="s">
        <v>1220</v>
      </c>
      <c r="P347" s="24">
        <v>4</v>
      </c>
      <c r="Q347" s="24">
        <v>5</v>
      </c>
      <c r="R347" s="25" cm="1">
        <f t="array" ref="R347">INDEX($C$3:$G$10,P347,Q347)</f>
        <v>23.99</v>
      </c>
    </row>
    <row r="348" spans="15:18" x14ac:dyDescent="0.3">
      <c r="O348" s="14" t="s">
        <v>1053</v>
      </c>
      <c r="P348" s="24">
        <v>5</v>
      </c>
      <c r="Q348" s="24">
        <v>3</v>
      </c>
      <c r="R348" s="25" cm="1">
        <f t="array" ref="R348">INDEX($C$3:$G$10,P348,Q348)</f>
        <v>23.6</v>
      </c>
    </row>
    <row r="349" spans="15:18" x14ac:dyDescent="0.3">
      <c r="O349" s="14" t="s">
        <v>905</v>
      </c>
      <c r="P349" s="24">
        <v>2</v>
      </c>
      <c r="Q349" s="24">
        <v>5</v>
      </c>
      <c r="R349" s="25" cm="1">
        <f t="array" ref="R349">INDEX($C$3:$G$10,P349,Q349)</f>
        <v>21.59</v>
      </c>
    </row>
    <row r="350" spans="15:18" x14ac:dyDescent="0.3">
      <c r="O350" s="14" t="s">
        <v>992</v>
      </c>
      <c r="P350" s="24">
        <v>7</v>
      </c>
      <c r="Q350" s="24">
        <v>2</v>
      </c>
      <c r="R350" s="25" cm="1">
        <f t="array" ref="R350">INDEX($C$3:$G$10,P350,Q350)</f>
        <v>28.19</v>
      </c>
    </row>
    <row r="351" spans="15:18" x14ac:dyDescent="0.3">
      <c r="O351" s="14" t="s">
        <v>1132</v>
      </c>
      <c r="P351" s="24">
        <v>4</v>
      </c>
      <c r="Q351" s="24">
        <v>2</v>
      </c>
      <c r="R351" s="25" cm="1">
        <f t="array" ref="R351">INDEX($C$3:$G$10,P351,Q351)</f>
        <v>17.060000000000002</v>
      </c>
    </row>
    <row r="352" spans="15:18" x14ac:dyDescent="0.3">
      <c r="O352" s="14" t="s">
        <v>878</v>
      </c>
      <c r="P352" s="24">
        <v>8</v>
      </c>
      <c r="Q352" s="24">
        <v>3</v>
      </c>
      <c r="R352" s="25" cm="1">
        <f t="array" ref="R352">INDEX($C$3:$G$10,P352,Q352)</f>
        <v>38.79</v>
      </c>
    </row>
    <row r="353" spans="15:18" x14ac:dyDescent="0.3">
      <c r="O353" s="14" t="s">
        <v>937</v>
      </c>
      <c r="P353" s="24">
        <v>1</v>
      </c>
      <c r="Q353" s="24">
        <v>5</v>
      </c>
      <c r="R353" s="25" cm="1">
        <f t="array" ref="R353">INDEX($C$3:$G$10,P353,Q353)</f>
        <v>19.18</v>
      </c>
    </row>
    <row r="354" spans="15:18" x14ac:dyDescent="0.3">
      <c r="O354" s="14" t="s">
        <v>1336</v>
      </c>
      <c r="P354" s="24">
        <v>3</v>
      </c>
      <c r="Q354" s="24">
        <v>4</v>
      </c>
      <c r="R354" s="25" cm="1">
        <f t="array" ref="R354">INDEX($C$3:$G$10,P354,Q354)</f>
        <v>21.2</v>
      </c>
    </row>
    <row r="355" spans="15:18" x14ac:dyDescent="0.3">
      <c r="O355" s="14" t="s">
        <v>1178</v>
      </c>
      <c r="P355" s="24">
        <v>5</v>
      </c>
      <c r="Q355" s="24">
        <v>4</v>
      </c>
      <c r="R355" s="25" cm="1">
        <f t="array" ref="R355">INDEX($C$3:$G$10,P355,Q355)</f>
        <v>30.27</v>
      </c>
    </row>
    <row r="356" spans="15:18" x14ac:dyDescent="0.3">
      <c r="O356" s="14" t="s">
        <v>1309</v>
      </c>
      <c r="P356" s="24">
        <v>1</v>
      </c>
      <c r="Q356" s="24">
        <v>2</v>
      </c>
      <c r="R356" s="25" cm="1">
        <f t="array" ref="R356">INDEX($C$3:$G$10,P356,Q356)</f>
        <v>11.18</v>
      </c>
    </row>
    <row r="357" spans="15:18" x14ac:dyDescent="0.3">
      <c r="O357" s="14" t="s">
        <v>903</v>
      </c>
      <c r="P357" s="24">
        <v>1</v>
      </c>
      <c r="Q357" s="24">
        <v>3</v>
      </c>
      <c r="R357" s="25" cm="1">
        <f t="array" ref="R357">INDEX($C$3:$G$10,P357,Q357)</f>
        <v>14.47</v>
      </c>
    </row>
    <row r="358" spans="15:18" x14ac:dyDescent="0.3">
      <c r="O358" s="14" t="s">
        <v>1274</v>
      </c>
      <c r="P358" s="24">
        <v>5</v>
      </c>
      <c r="Q358" s="24">
        <v>1</v>
      </c>
      <c r="R358" s="25" cm="1">
        <f t="array" ref="R358">INDEX($C$3:$G$10,P358,Q358)</f>
        <v>18.59</v>
      </c>
    </row>
    <row r="359" spans="15:18" x14ac:dyDescent="0.3">
      <c r="O359" s="14" t="s">
        <v>898</v>
      </c>
      <c r="P359" s="24">
        <v>4</v>
      </c>
      <c r="Q359" s="24">
        <v>4</v>
      </c>
      <c r="R359" s="25" cm="1">
        <f t="array" ref="R359">INDEX($C$3:$G$10,P359,Q359)</f>
        <v>23.4</v>
      </c>
    </row>
    <row r="360" spans="15:18" x14ac:dyDescent="0.3">
      <c r="O360" s="14" t="s">
        <v>1048</v>
      </c>
      <c r="P360" s="24">
        <v>8</v>
      </c>
      <c r="Q360" s="24">
        <v>3</v>
      </c>
      <c r="R360" s="25" cm="1">
        <f t="array" ref="R360">INDEX($C$3:$G$10,P360,Q360)</f>
        <v>38.79</v>
      </c>
    </row>
    <row r="361" spans="15:18" x14ac:dyDescent="0.3">
      <c r="O361" s="14" t="s">
        <v>1190</v>
      </c>
      <c r="P361" s="24">
        <v>8</v>
      </c>
      <c r="Q361" s="24">
        <v>4</v>
      </c>
      <c r="R361" s="25" cm="1">
        <f t="array" ref="R361">INDEX($C$3:$G$10,P361,Q361)</f>
        <v>47.19</v>
      </c>
    </row>
    <row r="362" spans="15:18" x14ac:dyDescent="0.3">
      <c r="O362" s="14" t="s">
        <v>979</v>
      </c>
      <c r="P362" s="24">
        <v>5</v>
      </c>
      <c r="Q362" s="24">
        <v>4</v>
      </c>
      <c r="R362" s="25" cm="1">
        <f t="array" ref="R362">INDEX($C$3:$G$10,P362,Q362)</f>
        <v>30.27</v>
      </c>
    </row>
    <row r="363" spans="15:18" x14ac:dyDescent="0.3">
      <c r="O363" s="14" t="s">
        <v>1162</v>
      </c>
      <c r="P363" s="24">
        <v>4</v>
      </c>
      <c r="Q363" s="24">
        <v>5</v>
      </c>
      <c r="R363" s="25" cm="1">
        <f t="array" ref="R363">INDEX($C$3:$G$10,P363,Q363)</f>
        <v>23.99</v>
      </c>
    </row>
    <row r="364" spans="15:18" x14ac:dyDescent="0.3">
      <c r="O364" s="14" t="s">
        <v>1251</v>
      </c>
      <c r="P364" s="24">
        <v>6</v>
      </c>
      <c r="Q364" s="24">
        <v>4</v>
      </c>
      <c r="R364" s="25" cm="1">
        <f t="array" ref="R364">INDEX($C$3:$G$10,P364,Q364)</f>
        <v>31.92</v>
      </c>
    </row>
    <row r="365" spans="15:18" x14ac:dyDescent="0.3">
      <c r="O365" s="14" t="s">
        <v>1117</v>
      </c>
      <c r="P365" s="24">
        <v>3</v>
      </c>
      <c r="Q365" s="24">
        <v>1</v>
      </c>
      <c r="R365" s="25" cm="1">
        <f t="array" ref="R365">INDEX($C$3:$G$10,P365,Q365)</f>
        <v>16.2</v>
      </c>
    </row>
    <row r="366" spans="15:18" x14ac:dyDescent="0.3">
      <c r="O366" s="14" t="s">
        <v>940</v>
      </c>
      <c r="P366" s="24">
        <v>6</v>
      </c>
      <c r="Q366" s="24">
        <v>3</v>
      </c>
      <c r="R366" s="25" cm="1">
        <f t="array" ref="R366">INDEX($C$3:$G$10,P366,Q366)</f>
        <v>28.53</v>
      </c>
    </row>
    <row r="367" spans="15:18" x14ac:dyDescent="0.3">
      <c r="O367" s="14" t="s">
        <v>1304</v>
      </c>
      <c r="P367" s="24">
        <v>5</v>
      </c>
      <c r="Q367" s="24">
        <v>5</v>
      </c>
      <c r="R367" s="25" cm="1">
        <f t="array" ref="R367">INDEX($C$3:$G$10,P367,Q367)</f>
        <v>28.18</v>
      </c>
    </row>
    <row r="368" spans="15:18" x14ac:dyDescent="0.3">
      <c r="O368" s="14" t="s">
        <v>1279</v>
      </c>
      <c r="P368" s="24">
        <v>3</v>
      </c>
      <c r="Q368" s="24">
        <v>5</v>
      </c>
      <c r="R368" s="25" cm="1">
        <f t="array" ref="R368">INDEX($C$3:$G$10,P368,Q368)</f>
        <v>24.52</v>
      </c>
    </row>
    <row r="369" spans="15:18" x14ac:dyDescent="0.3">
      <c r="O369" s="14" t="s">
        <v>1351</v>
      </c>
      <c r="P369" s="24">
        <v>7</v>
      </c>
      <c r="Q369" s="24">
        <v>2</v>
      </c>
      <c r="R369" s="25" cm="1">
        <f t="array" ref="R369">INDEX($C$3:$G$10,P369,Q369)</f>
        <v>28.19</v>
      </c>
    </row>
    <row r="370" spans="15:18" x14ac:dyDescent="0.3">
      <c r="O370" s="14" t="s">
        <v>1077</v>
      </c>
      <c r="P370" s="24">
        <v>5</v>
      </c>
      <c r="Q370" s="24">
        <v>2</v>
      </c>
      <c r="R370" s="25" cm="1">
        <f t="array" ref="R370">INDEX($C$3:$G$10,P370,Q370)</f>
        <v>19.86</v>
      </c>
    </row>
    <row r="371" spans="15:18" x14ac:dyDescent="0.3">
      <c r="O371" s="14" t="s">
        <v>947</v>
      </c>
      <c r="P371" s="24">
        <v>1</v>
      </c>
      <c r="Q371" s="24">
        <v>5</v>
      </c>
      <c r="R371" s="25" cm="1">
        <f t="array" ref="R371">INDEX($C$3:$G$10,P371,Q371)</f>
        <v>19.18</v>
      </c>
    </row>
    <row r="372" spans="15:18" x14ac:dyDescent="0.3">
      <c r="O372" s="14" t="s">
        <v>1240</v>
      </c>
      <c r="P372" s="24">
        <v>3</v>
      </c>
      <c r="Q372" s="24">
        <v>1</v>
      </c>
      <c r="R372" s="25" cm="1">
        <f t="array" ref="R372">INDEX($C$3:$G$10,P372,Q372)</f>
        <v>16.2</v>
      </c>
    </row>
    <row r="373" spans="15:18" x14ac:dyDescent="0.3">
      <c r="O373" s="14" t="s">
        <v>990</v>
      </c>
      <c r="P373" s="24">
        <v>2</v>
      </c>
      <c r="Q373" s="24">
        <v>5</v>
      </c>
      <c r="R373" s="25" cm="1">
        <f t="array" ref="R373">INDEX($C$3:$G$10,P373,Q373)</f>
        <v>21.59</v>
      </c>
    </row>
    <row r="374" spans="15:18" x14ac:dyDescent="0.3">
      <c r="O374" s="14" t="s">
        <v>1138</v>
      </c>
      <c r="P374" s="24">
        <v>3</v>
      </c>
      <c r="Q374" s="24">
        <v>1</v>
      </c>
      <c r="R374" s="25" cm="1">
        <f t="array" ref="R374">INDEX($C$3:$G$10,P374,Q374)</f>
        <v>16.2</v>
      </c>
    </row>
    <row r="375" spans="15:18" x14ac:dyDescent="0.3">
      <c r="O375" s="14" t="s">
        <v>954</v>
      </c>
      <c r="P375" s="24">
        <v>2</v>
      </c>
      <c r="Q375" s="24">
        <v>4</v>
      </c>
      <c r="R375" s="25" cm="1">
        <f t="array" ref="R375">INDEX($C$3:$G$10,P375,Q375)</f>
        <v>17.53</v>
      </c>
    </row>
    <row r="376" spans="15:18" x14ac:dyDescent="0.3">
      <c r="O376" s="14" t="s">
        <v>1291</v>
      </c>
      <c r="P376" s="24">
        <v>1</v>
      </c>
      <c r="Q376" s="24">
        <v>4</v>
      </c>
      <c r="R376" s="25" cm="1">
        <f t="array" ref="R376">INDEX($C$3:$G$10,P376,Q376)</f>
        <v>18.25</v>
      </c>
    </row>
    <row r="377" spans="15:18" x14ac:dyDescent="0.3">
      <c r="O377" s="14" t="s">
        <v>1318</v>
      </c>
      <c r="P377" s="24">
        <v>4</v>
      </c>
      <c r="Q377" s="24">
        <v>4</v>
      </c>
      <c r="R377" s="25" cm="1">
        <f t="array" ref="R377">INDEX($C$3:$G$10,P377,Q377)</f>
        <v>23.4</v>
      </c>
    </row>
    <row r="378" spans="15:18" x14ac:dyDescent="0.3">
      <c r="O378" s="14" t="s">
        <v>1201</v>
      </c>
      <c r="P378" s="24">
        <v>8</v>
      </c>
      <c r="Q378" s="24">
        <v>1</v>
      </c>
      <c r="R378" s="25" cm="1">
        <f t="array" ref="R378">INDEX($C$3:$G$10,P378,Q378)</f>
        <v>31.18</v>
      </c>
    </row>
    <row r="379" spans="15:18" x14ac:dyDescent="0.3">
      <c r="O379" s="14" t="s">
        <v>1295</v>
      </c>
      <c r="P379" s="24">
        <v>5</v>
      </c>
      <c r="Q379" s="24">
        <v>3</v>
      </c>
      <c r="R379" s="25" cm="1">
        <f t="array" ref="R379">INDEX($C$3:$G$10,P379,Q379)</f>
        <v>23.6</v>
      </c>
    </row>
    <row r="380" spans="15:18" x14ac:dyDescent="0.3">
      <c r="O380" s="14" t="s">
        <v>1050</v>
      </c>
      <c r="P380" s="24">
        <v>8</v>
      </c>
      <c r="Q380" s="24">
        <v>5</v>
      </c>
      <c r="R380" s="25" cm="1">
        <f t="array" ref="R380">INDEX($C$3:$G$10,P380,Q380)</f>
        <v>47.4</v>
      </c>
    </row>
    <row r="381" spans="15:18" x14ac:dyDescent="0.3">
      <c r="O381" s="14" t="s">
        <v>934</v>
      </c>
      <c r="P381" s="24">
        <v>7</v>
      </c>
      <c r="Q381" s="24">
        <v>1</v>
      </c>
      <c r="R381" s="25" cm="1">
        <f t="array" ref="R381">INDEX($C$3:$G$10,P381,Q381)</f>
        <v>23.99</v>
      </c>
    </row>
    <row r="382" spans="15:18" x14ac:dyDescent="0.3">
      <c r="O382" s="14" t="s">
        <v>1202</v>
      </c>
      <c r="P382" s="24">
        <v>7</v>
      </c>
      <c r="Q382" s="24">
        <v>4</v>
      </c>
      <c r="R382" s="25" cm="1">
        <f t="array" ref="R382">INDEX($C$3:$G$10,P382,Q382)</f>
        <v>36.53</v>
      </c>
    </row>
    <row r="383" spans="15:18" x14ac:dyDescent="0.3">
      <c r="O383" s="14" t="s">
        <v>1272</v>
      </c>
      <c r="P383" s="24">
        <v>5</v>
      </c>
      <c r="Q383" s="24">
        <v>3</v>
      </c>
      <c r="R383" s="25" cm="1">
        <f t="array" ref="R383">INDEX($C$3:$G$10,P383,Q383)</f>
        <v>23.6</v>
      </c>
    </row>
    <row r="384" spans="15:18" x14ac:dyDescent="0.3">
      <c r="O384" s="14" t="s">
        <v>1323</v>
      </c>
      <c r="P384" s="24">
        <v>6</v>
      </c>
      <c r="Q384" s="24">
        <v>4</v>
      </c>
      <c r="R384" s="25" cm="1">
        <f t="array" ref="R384">INDEX($C$3:$G$10,P384,Q384)</f>
        <v>31.92</v>
      </c>
    </row>
    <row r="385" spans="15:18" x14ac:dyDescent="0.3">
      <c r="O385" s="14" t="s">
        <v>1327</v>
      </c>
      <c r="P385" s="24">
        <v>4</v>
      </c>
      <c r="Q385" s="24">
        <v>4</v>
      </c>
      <c r="R385" s="25" cm="1">
        <f t="array" ref="R385">INDEX($C$3:$G$10,P385,Q385)</f>
        <v>23.4</v>
      </c>
    </row>
    <row r="386" spans="15:18" x14ac:dyDescent="0.3">
      <c r="O386" s="14" t="s">
        <v>939</v>
      </c>
      <c r="P386" s="24">
        <v>8</v>
      </c>
      <c r="Q386" s="24">
        <v>4</v>
      </c>
      <c r="R386" s="25" cm="1">
        <f t="array" ref="R386">INDEX($C$3:$G$10,P386,Q386)</f>
        <v>47.19</v>
      </c>
    </row>
    <row r="387" spans="15:18" x14ac:dyDescent="0.3">
      <c r="O387" s="14" t="s">
        <v>1002</v>
      </c>
      <c r="P387" s="24">
        <v>3</v>
      </c>
      <c r="Q387" s="24">
        <v>4</v>
      </c>
      <c r="R387" s="25" cm="1">
        <f t="array" ref="R387">INDEX($C$3:$G$10,P387,Q387)</f>
        <v>21.2</v>
      </c>
    </row>
    <row r="388" spans="15:18" x14ac:dyDescent="0.3">
      <c r="O388" s="14" t="s">
        <v>1322</v>
      </c>
      <c r="P388" s="24">
        <v>4</v>
      </c>
      <c r="Q388" s="24">
        <v>2</v>
      </c>
      <c r="R388" s="25" cm="1">
        <f t="array" ref="R388">INDEX($C$3:$G$10,P388,Q388)</f>
        <v>17.060000000000002</v>
      </c>
    </row>
    <row r="389" spans="15:18" x14ac:dyDescent="0.3">
      <c r="O389" s="14" t="s">
        <v>1179</v>
      </c>
      <c r="P389" s="24">
        <v>2</v>
      </c>
      <c r="Q389" s="24">
        <v>5</v>
      </c>
      <c r="R389" s="25" cm="1">
        <f t="array" ref="R389">INDEX($C$3:$G$10,P389,Q389)</f>
        <v>21.59</v>
      </c>
    </row>
    <row r="390" spans="15:18" x14ac:dyDescent="0.3">
      <c r="O390" s="14" t="s">
        <v>968</v>
      </c>
      <c r="P390" s="24">
        <v>2</v>
      </c>
      <c r="Q390" s="24">
        <v>3</v>
      </c>
      <c r="R390" s="25" cm="1">
        <f t="array" ref="R390">INDEX($C$3:$G$10,P390,Q390)</f>
        <v>15.32</v>
      </c>
    </row>
    <row r="391" spans="15:18" x14ac:dyDescent="0.3">
      <c r="O391" s="14" t="s">
        <v>881</v>
      </c>
      <c r="P391" s="24">
        <v>4</v>
      </c>
      <c r="Q391" s="24">
        <v>4</v>
      </c>
      <c r="R391" s="25" cm="1">
        <f t="array" ref="R391">INDEX($C$3:$G$10,P391,Q391)</f>
        <v>23.4</v>
      </c>
    </row>
    <row r="392" spans="15:18" x14ac:dyDescent="0.3">
      <c r="O392" s="14" t="s">
        <v>1331</v>
      </c>
      <c r="P392" s="24">
        <v>8</v>
      </c>
      <c r="Q392" s="24">
        <v>3</v>
      </c>
      <c r="R392" s="25" cm="1">
        <f t="array" ref="R392">INDEX($C$3:$G$10,P392,Q392)</f>
        <v>38.79</v>
      </c>
    </row>
    <row r="393" spans="15:18" x14ac:dyDescent="0.3">
      <c r="O393" s="14" t="s">
        <v>915</v>
      </c>
      <c r="P393" s="24">
        <v>3</v>
      </c>
      <c r="Q393" s="24">
        <v>1</v>
      </c>
      <c r="R393" s="25" cm="1">
        <f t="array" ref="R393">INDEX($C$3:$G$10,P393,Q393)</f>
        <v>16.2</v>
      </c>
    </row>
    <row r="394" spans="15:18" x14ac:dyDescent="0.3">
      <c r="O394" s="14" t="s">
        <v>1221</v>
      </c>
      <c r="P394" s="24">
        <v>5</v>
      </c>
      <c r="Q394" s="24">
        <v>4</v>
      </c>
      <c r="R394" s="25" cm="1">
        <f t="array" ref="R394">INDEX($C$3:$G$10,P394,Q394)</f>
        <v>30.27</v>
      </c>
    </row>
    <row r="395" spans="15:18" x14ac:dyDescent="0.3">
      <c r="O395" s="14" t="s">
        <v>1124</v>
      </c>
      <c r="P395" s="24">
        <v>4</v>
      </c>
      <c r="Q395" s="24">
        <v>2</v>
      </c>
      <c r="R395" s="25" cm="1">
        <f t="array" ref="R395">INDEX($C$3:$G$10,P395,Q395)</f>
        <v>17.060000000000002</v>
      </c>
    </row>
    <row r="396" spans="15:18" x14ac:dyDescent="0.3">
      <c r="O396" s="14" t="s">
        <v>1173</v>
      </c>
      <c r="P396" s="24">
        <v>2</v>
      </c>
      <c r="Q396" s="24">
        <v>5</v>
      </c>
      <c r="R396" s="25" cm="1">
        <f t="array" ref="R396">INDEX($C$3:$G$10,P396,Q396)</f>
        <v>21.59</v>
      </c>
    </row>
    <row r="397" spans="15:18" x14ac:dyDescent="0.3">
      <c r="O397" s="14" t="s">
        <v>1059</v>
      </c>
      <c r="P397" s="24">
        <v>6</v>
      </c>
      <c r="Q397" s="24">
        <v>1</v>
      </c>
      <c r="R397" s="25" cm="1">
        <f t="array" ref="R397">INDEX($C$3:$G$10,P397,Q397)</f>
        <v>21.52</v>
      </c>
    </row>
    <row r="398" spans="15:18" x14ac:dyDescent="0.3">
      <c r="O398" s="14" t="s">
        <v>1258</v>
      </c>
      <c r="P398" s="24">
        <v>5</v>
      </c>
      <c r="Q398" s="24">
        <v>2</v>
      </c>
      <c r="R398" s="25" cm="1">
        <f t="array" ref="R398">INDEX($C$3:$G$10,P398,Q398)</f>
        <v>19.86</v>
      </c>
    </row>
    <row r="399" spans="15:18" x14ac:dyDescent="0.3">
      <c r="O399" s="14" t="s">
        <v>1293</v>
      </c>
      <c r="P399" s="24">
        <v>8</v>
      </c>
      <c r="Q399" s="24">
        <v>4</v>
      </c>
      <c r="R399" s="25" cm="1">
        <f t="array" ref="R399">INDEX($C$3:$G$10,P399,Q399)</f>
        <v>47.19</v>
      </c>
    </row>
    <row r="400" spans="15:18" x14ac:dyDescent="0.3">
      <c r="O400" s="14" t="s">
        <v>1080</v>
      </c>
      <c r="P400" s="24">
        <v>3</v>
      </c>
      <c r="Q400" s="24">
        <v>2</v>
      </c>
      <c r="R400" s="25" cm="1">
        <f t="array" ref="R400">INDEX($C$3:$G$10,P400,Q400)</f>
        <v>17.72</v>
      </c>
    </row>
    <row r="401" spans="15:18" x14ac:dyDescent="0.3">
      <c r="O401" s="14" t="s">
        <v>1352</v>
      </c>
      <c r="P401" s="24">
        <v>5</v>
      </c>
      <c r="Q401" s="24">
        <v>3</v>
      </c>
      <c r="R401" s="25" cm="1">
        <f t="array" ref="R401">INDEX($C$3:$G$10,P401,Q401)</f>
        <v>23.6</v>
      </c>
    </row>
    <row r="402" spans="15:18" x14ac:dyDescent="0.3">
      <c r="O402" s="14" t="s">
        <v>1089</v>
      </c>
      <c r="P402" s="24">
        <v>6</v>
      </c>
      <c r="Q402" s="24">
        <v>2</v>
      </c>
      <c r="R402" s="25" cm="1">
        <f t="array" ref="R402">INDEX($C$3:$G$10,P402,Q402)</f>
        <v>24.2</v>
      </c>
    </row>
    <row r="403" spans="15:18" x14ac:dyDescent="0.3">
      <c r="O403" s="14" t="s">
        <v>1316</v>
      </c>
      <c r="P403" s="24">
        <v>1</v>
      </c>
      <c r="Q403" s="24">
        <v>2</v>
      </c>
      <c r="R403" s="25" cm="1">
        <f t="array" ref="R403">INDEX($C$3:$G$10,P403,Q403)</f>
        <v>11.18</v>
      </c>
    </row>
    <row r="404" spans="15:18" x14ac:dyDescent="0.3">
      <c r="O404" s="14" t="s">
        <v>1023</v>
      </c>
      <c r="P404" s="24">
        <v>5</v>
      </c>
      <c r="Q404" s="24">
        <v>1</v>
      </c>
      <c r="R404" s="25" cm="1">
        <f t="array" ref="R404">INDEX($C$3:$G$10,P404,Q404)</f>
        <v>18.59</v>
      </c>
    </row>
    <row r="405" spans="15:18" x14ac:dyDescent="0.3">
      <c r="O405" s="14" t="s">
        <v>1348</v>
      </c>
      <c r="P405" s="24">
        <v>4</v>
      </c>
      <c r="Q405" s="24">
        <v>3</v>
      </c>
      <c r="R405" s="25" cm="1">
        <f t="array" ref="R405">INDEX($C$3:$G$10,P405,Q405)</f>
        <v>21.34</v>
      </c>
    </row>
    <row r="406" spans="15:18" x14ac:dyDescent="0.3">
      <c r="O406" s="14" t="s">
        <v>900</v>
      </c>
      <c r="P406" s="24">
        <v>6</v>
      </c>
      <c r="Q406" s="24">
        <v>2</v>
      </c>
      <c r="R406" s="25" cm="1">
        <f t="array" ref="R406">INDEX($C$3:$G$10,P406,Q406)</f>
        <v>24.2</v>
      </c>
    </row>
    <row r="407" spans="15:18" x14ac:dyDescent="0.3">
      <c r="O407" s="14" t="s">
        <v>1069</v>
      </c>
      <c r="P407" s="24">
        <v>6</v>
      </c>
      <c r="Q407" s="24">
        <v>1</v>
      </c>
      <c r="R407" s="25" cm="1">
        <f t="array" ref="R407">INDEX($C$3:$G$10,P407,Q407)</f>
        <v>21.52</v>
      </c>
    </row>
    <row r="408" spans="15:18" x14ac:dyDescent="0.3">
      <c r="O408" s="14" t="s">
        <v>909</v>
      </c>
      <c r="P408" s="24">
        <v>6</v>
      </c>
      <c r="Q408" s="24">
        <v>4</v>
      </c>
      <c r="R408" s="25" cm="1">
        <f t="array" ref="R408">INDEX($C$3:$G$10,P408,Q408)</f>
        <v>31.92</v>
      </c>
    </row>
    <row r="409" spans="15:18" x14ac:dyDescent="0.3">
      <c r="O409" s="14" t="s">
        <v>997</v>
      </c>
      <c r="P409" s="24">
        <v>1</v>
      </c>
      <c r="Q409" s="24">
        <v>4</v>
      </c>
      <c r="R409" s="25" cm="1">
        <f t="array" ref="R409">INDEX($C$3:$G$10,P409,Q409)</f>
        <v>18.25</v>
      </c>
    </row>
    <row r="410" spans="15:18" x14ac:dyDescent="0.3">
      <c r="O410" s="14" t="s">
        <v>1148</v>
      </c>
      <c r="P410" s="24">
        <v>2</v>
      </c>
      <c r="Q410" s="24">
        <v>1</v>
      </c>
      <c r="R410" s="25" cm="1">
        <f t="array" ref="R410">INDEX($C$3:$G$10,P410,Q410)</f>
        <v>14.51</v>
      </c>
    </row>
    <row r="411" spans="15:18" x14ac:dyDescent="0.3">
      <c r="O411" s="14" t="s">
        <v>1236</v>
      </c>
      <c r="P411" s="24">
        <v>6</v>
      </c>
      <c r="Q411" s="24">
        <v>4</v>
      </c>
      <c r="R411" s="25" cm="1">
        <f t="array" ref="R411">INDEX($C$3:$G$10,P411,Q411)</f>
        <v>31.92</v>
      </c>
    </row>
    <row r="412" spans="15:18" x14ac:dyDescent="0.3">
      <c r="O412" s="14" t="s">
        <v>1042</v>
      </c>
      <c r="P412" s="24">
        <v>2</v>
      </c>
      <c r="Q412" s="24">
        <v>2</v>
      </c>
      <c r="R412" s="25" cm="1">
        <f t="array" ref="R412">INDEX($C$3:$G$10,P412,Q412)</f>
        <v>14.8</v>
      </c>
    </row>
    <row r="413" spans="15:18" x14ac:dyDescent="0.3">
      <c r="O413" s="14" t="s">
        <v>1014</v>
      </c>
      <c r="P413" s="24">
        <v>3</v>
      </c>
      <c r="Q413" s="24">
        <v>2</v>
      </c>
      <c r="R413" s="25" cm="1">
        <f t="array" ref="R413">INDEX($C$3:$G$10,P413,Q413)</f>
        <v>17.72</v>
      </c>
    </row>
    <row r="414" spans="15:18" x14ac:dyDescent="0.3">
      <c r="O414" s="14" t="s">
        <v>1034</v>
      </c>
      <c r="P414" s="24">
        <v>4</v>
      </c>
      <c r="Q414" s="24">
        <v>2</v>
      </c>
      <c r="R414" s="25" cm="1">
        <f t="array" ref="R414">INDEX($C$3:$G$10,P414,Q414)</f>
        <v>17.060000000000002</v>
      </c>
    </row>
    <row r="415" spans="15:18" x14ac:dyDescent="0.3">
      <c r="O415" s="14" t="s">
        <v>1177</v>
      </c>
      <c r="P415" s="24">
        <v>3</v>
      </c>
      <c r="Q415" s="24">
        <v>1</v>
      </c>
      <c r="R415" s="25" cm="1">
        <f t="array" ref="R415">INDEX($C$3:$G$10,P415,Q415)</f>
        <v>16.2</v>
      </c>
    </row>
    <row r="416" spans="15:18" x14ac:dyDescent="0.3">
      <c r="O416" s="14" t="s">
        <v>1224</v>
      </c>
      <c r="P416" s="24">
        <v>8</v>
      </c>
      <c r="Q416" s="24">
        <v>3</v>
      </c>
      <c r="R416" s="25" cm="1">
        <f t="array" ref="R416">INDEX($C$3:$G$10,P416,Q416)</f>
        <v>38.79</v>
      </c>
    </row>
    <row r="417" spans="15:18" x14ac:dyDescent="0.3">
      <c r="O417" s="14" t="s">
        <v>976</v>
      </c>
      <c r="P417" s="24">
        <v>5</v>
      </c>
      <c r="Q417" s="24">
        <v>2</v>
      </c>
      <c r="R417" s="25" cm="1">
        <f t="array" ref="R417">INDEX($C$3:$G$10,P417,Q417)</f>
        <v>19.86</v>
      </c>
    </row>
    <row r="418" spans="15:18" x14ac:dyDescent="0.3">
      <c r="O418" s="14" t="s">
        <v>963</v>
      </c>
      <c r="P418" s="24">
        <v>4</v>
      </c>
      <c r="Q418" s="24">
        <v>3</v>
      </c>
      <c r="R418" s="25" cm="1">
        <f t="array" ref="R418">INDEX($C$3:$G$10,P418,Q418)</f>
        <v>21.34</v>
      </c>
    </row>
    <row r="419" spans="15:18" x14ac:dyDescent="0.3">
      <c r="O419" s="14" t="s">
        <v>1310</v>
      </c>
      <c r="P419" s="24">
        <v>7</v>
      </c>
      <c r="Q419" s="24">
        <v>1</v>
      </c>
      <c r="R419" s="25" cm="1">
        <f t="array" ref="R419">INDEX($C$3:$G$10,P419,Q419)</f>
        <v>23.99</v>
      </c>
    </row>
    <row r="420" spans="15:18" x14ac:dyDescent="0.3">
      <c r="O420" s="14" t="s">
        <v>993</v>
      </c>
      <c r="P420" s="24">
        <v>8</v>
      </c>
      <c r="Q420" s="24">
        <v>2</v>
      </c>
      <c r="R420" s="25" cm="1">
        <f t="array" ref="R420">INDEX($C$3:$G$10,P420,Q420)</f>
        <v>34.97</v>
      </c>
    </row>
    <row r="421" spans="15:18" x14ac:dyDescent="0.3">
      <c r="O421" s="14" t="s">
        <v>1052</v>
      </c>
      <c r="P421" s="24">
        <v>6</v>
      </c>
      <c r="Q421" s="24">
        <v>1</v>
      </c>
      <c r="R421" s="25" cm="1">
        <f t="array" ref="R421">INDEX($C$3:$G$10,P421,Q421)</f>
        <v>21.52</v>
      </c>
    </row>
    <row r="422" spans="15:18" x14ac:dyDescent="0.3">
      <c r="O422" s="14" t="s">
        <v>1078</v>
      </c>
      <c r="P422" s="24">
        <v>7</v>
      </c>
      <c r="Q422" s="24">
        <v>1</v>
      </c>
      <c r="R422" s="25" cm="1">
        <f t="array" ref="R422">INDEX($C$3:$G$10,P422,Q422)</f>
        <v>23.99</v>
      </c>
    </row>
    <row r="423" spans="15:18" x14ac:dyDescent="0.3">
      <c r="O423" s="14" t="s">
        <v>925</v>
      </c>
      <c r="P423" s="24">
        <v>4</v>
      </c>
      <c r="Q423" s="24">
        <v>2</v>
      </c>
      <c r="R423" s="25" cm="1">
        <f t="array" ref="R423">INDEX($C$3:$G$10,P423,Q423)</f>
        <v>17.060000000000002</v>
      </c>
    </row>
    <row r="424" spans="15:18" x14ac:dyDescent="0.3">
      <c r="O424" s="14" t="s">
        <v>1241</v>
      </c>
      <c r="P424" s="24">
        <v>3</v>
      </c>
      <c r="Q424" s="24">
        <v>2</v>
      </c>
      <c r="R424" s="25" cm="1">
        <f t="array" ref="R424">INDEX($C$3:$G$10,P424,Q424)</f>
        <v>17.72</v>
      </c>
    </row>
    <row r="425" spans="15:18" x14ac:dyDescent="0.3">
      <c r="O425" s="14" t="s">
        <v>1116</v>
      </c>
      <c r="P425" s="24">
        <v>2</v>
      </c>
      <c r="Q425" s="24">
        <v>4</v>
      </c>
      <c r="R425" s="25" cm="1">
        <f t="array" ref="R425">INDEX($C$3:$G$10,P425,Q425)</f>
        <v>17.53</v>
      </c>
    </row>
    <row r="426" spans="15:18" x14ac:dyDescent="0.3">
      <c r="O426" s="14" t="s">
        <v>984</v>
      </c>
      <c r="P426" s="24">
        <v>6</v>
      </c>
      <c r="Q426" s="24">
        <v>3</v>
      </c>
      <c r="R426" s="25" cm="1">
        <f t="array" ref="R426">INDEX($C$3:$G$10,P426,Q426)</f>
        <v>28.53</v>
      </c>
    </row>
    <row r="427" spans="15:18" x14ac:dyDescent="0.3">
      <c r="O427" s="14" t="s">
        <v>1317</v>
      </c>
      <c r="P427" s="24">
        <v>8</v>
      </c>
      <c r="Q427" s="24">
        <v>4</v>
      </c>
      <c r="R427" s="25" cm="1">
        <f t="array" ref="R427">INDEX($C$3:$G$10,P427,Q427)</f>
        <v>47.19</v>
      </c>
    </row>
    <row r="428" spans="15:18" x14ac:dyDescent="0.3">
      <c r="O428" s="14" t="s">
        <v>1130</v>
      </c>
      <c r="P428" s="24">
        <v>5</v>
      </c>
      <c r="Q428" s="24">
        <v>2</v>
      </c>
      <c r="R428" s="25" cm="1">
        <f t="array" ref="R428">INDEX($C$3:$G$10,P428,Q428)</f>
        <v>19.86</v>
      </c>
    </row>
    <row r="429" spans="15:18" x14ac:dyDescent="0.3">
      <c r="O429" s="14" t="s">
        <v>1290</v>
      </c>
      <c r="P429" s="24">
        <v>4</v>
      </c>
      <c r="Q429" s="24">
        <v>1</v>
      </c>
      <c r="R429" s="25" cm="1">
        <f t="array" ref="R429">INDEX($C$3:$G$10,P429,Q429)</f>
        <v>16.18</v>
      </c>
    </row>
    <row r="430" spans="15:18" x14ac:dyDescent="0.3">
      <c r="O430" s="14" t="s">
        <v>1019</v>
      </c>
      <c r="P430" s="24">
        <v>7</v>
      </c>
      <c r="Q430" s="24">
        <v>1</v>
      </c>
      <c r="R430" s="25" cm="1">
        <f t="array" ref="R430">INDEX($C$3:$G$10,P430,Q430)</f>
        <v>23.99</v>
      </c>
    </row>
    <row r="431" spans="15:18" x14ac:dyDescent="0.3">
      <c r="O431" s="14" t="s">
        <v>1329</v>
      </c>
      <c r="P431" s="24">
        <v>8</v>
      </c>
      <c r="Q431" s="24">
        <v>2</v>
      </c>
      <c r="R431" s="25" cm="1">
        <f t="array" ref="R431">INDEX($C$3:$G$10,P431,Q431)</f>
        <v>34.97</v>
      </c>
    </row>
    <row r="432" spans="15:18" x14ac:dyDescent="0.3">
      <c r="O432" s="14" t="s">
        <v>913</v>
      </c>
      <c r="P432" s="24">
        <v>2</v>
      </c>
      <c r="Q432" s="24">
        <v>1</v>
      </c>
      <c r="R432" s="25" cm="1">
        <f t="array" ref="R432">INDEX($C$3:$G$10,P432,Q432)</f>
        <v>14.51</v>
      </c>
    </row>
    <row r="433" spans="15:18" x14ac:dyDescent="0.3">
      <c r="O433" s="14" t="s">
        <v>1199</v>
      </c>
      <c r="P433" s="24">
        <v>7</v>
      </c>
      <c r="Q433" s="24">
        <v>2</v>
      </c>
      <c r="R433" s="25" cm="1">
        <f t="array" ref="R433">INDEX($C$3:$G$10,P433,Q433)</f>
        <v>28.19</v>
      </c>
    </row>
    <row r="434" spans="15:18" x14ac:dyDescent="0.3">
      <c r="O434" s="14" t="s">
        <v>1259</v>
      </c>
      <c r="P434" s="24">
        <v>3</v>
      </c>
      <c r="Q434" s="24">
        <v>3</v>
      </c>
      <c r="R434" s="25" cm="1">
        <f t="array" ref="R434">INDEX($C$3:$G$10,P434,Q434)</f>
        <v>17.600000000000001</v>
      </c>
    </row>
    <row r="435" spans="15:18" x14ac:dyDescent="0.3">
      <c r="O435" s="14" t="s">
        <v>895</v>
      </c>
      <c r="P435" s="24">
        <v>2</v>
      </c>
      <c r="Q435" s="24">
        <v>3</v>
      </c>
      <c r="R435" s="25" cm="1">
        <f t="array" ref="R435">INDEX($C$3:$G$10,P435,Q435)</f>
        <v>15.32</v>
      </c>
    </row>
    <row r="436" spans="15:18" x14ac:dyDescent="0.3">
      <c r="O436" s="14" t="s">
        <v>971</v>
      </c>
      <c r="P436" s="24">
        <v>3</v>
      </c>
      <c r="Q436" s="24">
        <v>3</v>
      </c>
      <c r="R436" s="25" cm="1">
        <f t="array" ref="R436">INDEX($C$3:$G$10,P436,Q436)</f>
        <v>17.600000000000001</v>
      </c>
    </row>
    <row r="437" spans="15:18" x14ac:dyDescent="0.3">
      <c r="O437" s="14" t="s">
        <v>1308</v>
      </c>
      <c r="P437" s="24">
        <v>1</v>
      </c>
      <c r="Q437" s="24">
        <v>5</v>
      </c>
      <c r="R437" s="25" cm="1">
        <f t="array" ref="R437">INDEX($C$3:$G$10,P437,Q437)</f>
        <v>19.18</v>
      </c>
    </row>
    <row r="438" spans="15:18" x14ac:dyDescent="0.3">
      <c r="O438" s="14" t="s">
        <v>1296</v>
      </c>
      <c r="P438" s="24">
        <v>4</v>
      </c>
      <c r="Q438" s="24">
        <v>2</v>
      </c>
      <c r="R438" s="25" cm="1">
        <f t="array" ref="R438">INDEX($C$3:$G$10,P438,Q438)</f>
        <v>17.060000000000002</v>
      </c>
    </row>
    <row r="439" spans="15:18" x14ac:dyDescent="0.3">
      <c r="O439" s="14" t="s">
        <v>1194</v>
      </c>
      <c r="P439" s="24">
        <v>8</v>
      </c>
      <c r="Q439" s="24">
        <v>2</v>
      </c>
      <c r="R439" s="25" cm="1">
        <f t="array" ref="R439">INDEX($C$3:$G$10,P439,Q439)</f>
        <v>34.97</v>
      </c>
    </row>
    <row r="440" spans="15:18" x14ac:dyDescent="0.3">
      <c r="O440" s="14" t="s">
        <v>1156</v>
      </c>
      <c r="P440" s="24">
        <v>8</v>
      </c>
      <c r="Q440" s="24">
        <v>3</v>
      </c>
      <c r="R440" s="25" cm="1">
        <f t="array" ref="R440">INDEX($C$3:$G$10,P440,Q440)</f>
        <v>38.79</v>
      </c>
    </row>
    <row r="441" spans="15:18" x14ac:dyDescent="0.3">
      <c r="O441" s="14" t="s">
        <v>1031</v>
      </c>
      <c r="P441" s="24">
        <v>2</v>
      </c>
      <c r="Q441" s="24">
        <v>4</v>
      </c>
      <c r="R441" s="25" cm="1">
        <f t="array" ref="R441">INDEX($C$3:$G$10,P441,Q441)</f>
        <v>17.53</v>
      </c>
    </row>
    <row r="442" spans="15:18" x14ac:dyDescent="0.3">
      <c r="O442" s="14" t="s">
        <v>1119</v>
      </c>
      <c r="P442" s="24">
        <v>6</v>
      </c>
      <c r="Q442" s="24">
        <v>3</v>
      </c>
      <c r="R442" s="25" cm="1">
        <f t="array" ref="R442">INDEX($C$3:$G$10,P442,Q442)</f>
        <v>28.53</v>
      </c>
    </row>
    <row r="443" spans="15:18" x14ac:dyDescent="0.3">
      <c r="O443" s="14" t="s">
        <v>1246</v>
      </c>
      <c r="P443" s="24">
        <v>6</v>
      </c>
      <c r="Q443" s="24">
        <v>5</v>
      </c>
      <c r="R443" s="25" cm="1">
        <f t="array" ref="R443">INDEX($C$3:$G$10,P443,Q443)</f>
        <v>37.200000000000003</v>
      </c>
    </row>
    <row r="444" spans="15:18" x14ac:dyDescent="0.3">
      <c r="O444" s="14" t="s">
        <v>1324</v>
      </c>
      <c r="P444" s="24">
        <v>7</v>
      </c>
      <c r="Q444" s="24">
        <v>4</v>
      </c>
      <c r="R444" s="25" cm="1">
        <f t="array" ref="R444">INDEX($C$3:$G$10,P444,Q444)</f>
        <v>36.53</v>
      </c>
    </row>
    <row r="445" spans="15:18" x14ac:dyDescent="0.3">
      <c r="O445" s="14" t="s">
        <v>1098</v>
      </c>
      <c r="P445" s="24">
        <v>7</v>
      </c>
      <c r="Q445" s="24">
        <v>2</v>
      </c>
      <c r="R445" s="25" cm="1">
        <f t="array" ref="R445">INDEX($C$3:$G$10,P445,Q445)</f>
        <v>28.19</v>
      </c>
    </row>
    <row r="446" spans="15:18" x14ac:dyDescent="0.3">
      <c r="O446" s="14" t="s">
        <v>1303</v>
      </c>
      <c r="P446" s="24">
        <v>2</v>
      </c>
      <c r="Q446" s="24">
        <v>2</v>
      </c>
      <c r="R446" s="25" cm="1">
        <f t="array" ref="R446">INDEX($C$3:$G$10,P446,Q446)</f>
        <v>14.8</v>
      </c>
    </row>
    <row r="447" spans="15:18" x14ac:dyDescent="0.3">
      <c r="O447" s="14" t="s">
        <v>1206</v>
      </c>
      <c r="P447" s="24">
        <v>1</v>
      </c>
      <c r="Q447" s="24">
        <v>3</v>
      </c>
      <c r="R447" s="25" cm="1">
        <f t="array" ref="R447">INDEX($C$3:$G$10,P447,Q447)</f>
        <v>14.47</v>
      </c>
    </row>
    <row r="448" spans="15:18" x14ac:dyDescent="0.3">
      <c r="O448" s="14" t="s">
        <v>1060</v>
      </c>
      <c r="P448" s="24">
        <v>4</v>
      </c>
      <c r="Q448" s="24">
        <v>2</v>
      </c>
      <c r="R448" s="25" cm="1">
        <f t="array" ref="R448">INDEX($C$3:$G$10,P448,Q448)</f>
        <v>17.060000000000002</v>
      </c>
    </row>
    <row r="449" spans="15:18" x14ac:dyDescent="0.3">
      <c r="O449" s="14" t="s">
        <v>1113</v>
      </c>
      <c r="P449" s="24">
        <v>7</v>
      </c>
      <c r="Q449" s="24">
        <v>2</v>
      </c>
      <c r="R449" s="25" cm="1">
        <f t="array" ref="R449">INDEX($C$3:$G$10,P449,Q449)</f>
        <v>28.19</v>
      </c>
    </row>
    <row r="450" spans="15:18" x14ac:dyDescent="0.3">
      <c r="O450" s="14" t="s">
        <v>1242</v>
      </c>
      <c r="P450" s="24">
        <v>8</v>
      </c>
      <c r="Q450" s="24">
        <v>1</v>
      </c>
      <c r="R450" s="25" cm="1">
        <f t="array" ref="R450">INDEX($C$3:$G$10,P450,Q450)</f>
        <v>31.18</v>
      </c>
    </row>
    <row r="451" spans="15:18" x14ac:dyDescent="0.3">
      <c r="O451" s="14" t="s">
        <v>1028</v>
      </c>
      <c r="P451" s="24">
        <v>4</v>
      </c>
      <c r="Q451" s="24">
        <v>2</v>
      </c>
      <c r="R451" s="25" cm="1">
        <f t="array" ref="R451">INDEX($C$3:$G$10,P451,Q451)</f>
        <v>17.060000000000002</v>
      </c>
    </row>
    <row r="452" spans="15:18" x14ac:dyDescent="0.3">
      <c r="O452" s="14" t="s">
        <v>873</v>
      </c>
      <c r="P452" s="24">
        <v>3</v>
      </c>
      <c r="Q452" s="24">
        <v>4</v>
      </c>
      <c r="R452" s="25" cm="1">
        <f t="array" ref="R452">INDEX($C$3:$G$10,P452,Q452)</f>
        <v>21.2</v>
      </c>
    </row>
    <row r="453" spans="15:18" x14ac:dyDescent="0.3">
      <c r="O453" s="14" t="s">
        <v>1099</v>
      </c>
      <c r="P453" s="24">
        <v>1</v>
      </c>
      <c r="Q453" s="24">
        <v>2</v>
      </c>
      <c r="R453" s="25" cm="1">
        <f t="array" ref="R453">INDEX($C$3:$G$10,P453,Q453)</f>
        <v>11.18</v>
      </c>
    </row>
    <row r="454" spans="15:18" x14ac:dyDescent="0.3">
      <c r="O454" s="14" t="s">
        <v>1196</v>
      </c>
      <c r="P454" s="24">
        <v>3</v>
      </c>
      <c r="Q454" s="24">
        <v>5</v>
      </c>
      <c r="R454" s="25" cm="1">
        <f t="array" ref="R454">INDEX($C$3:$G$10,P454,Q454)</f>
        <v>24.52</v>
      </c>
    </row>
    <row r="455" spans="15:18" x14ac:dyDescent="0.3">
      <c r="O455" s="14" t="s">
        <v>1026</v>
      </c>
      <c r="P455" s="24">
        <v>1</v>
      </c>
      <c r="Q455" s="24">
        <v>5</v>
      </c>
      <c r="R455" s="25" cm="1">
        <f t="array" ref="R455">INDEX($C$3:$G$10,P455,Q455)</f>
        <v>19.18</v>
      </c>
    </row>
    <row r="456" spans="15:18" x14ac:dyDescent="0.3">
      <c r="O456" s="14" t="s">
        <v>1313</v>
      </c>
      <c r="P456" s="24">
        <v>4</v>
      </c>
      <c r="Q456" s="24">
        <v>2</v>
      </c>
      <c r="R456" s="25" cm="1">
        <f t="array" ref="R456">INDEX($C$3:$G$10,P456,Q456)</f>
        <v>17.060000000000002</v>
      </c>
    </row>
    <row r="457" spans="15:18" x14ac:dyDescent="0.3">
      <c r="O457" s="14" t="s">
        <v>899</v>
      </c>
      <c r="P457" s="24">
        <v>2</v>
      </c>
      <c r="Q457" s="24">
        <v>3</v>
      </c>
      <c r="R457" s="25" cm="1">
        <f t="array" ref="R457">INDEX($C$3:$G$10,P457,Q457)</f>
        <v>15.32</v>
      </c>
    </row>
    <row r="458" spans="15:18" x14ac:dyDescent="0.3">
      <c r="O458" s="14" t="s">
        <v>860</v>
      </c>
      <c r="P458" s="24">
        <v>2</v>
      </c>
      <c r="Q458" s="24">
        <v>3</v>
      </c>
      <c r="R458" s="25" cm="1">
        <f t="array" ref="R458">INDEX($C$3:$G$10,P458,Q458)</f>
        <v>15.32</v>
      </c>
    </row>
    <row r="459" spans="15:18" x14ac:dyDescent="0.3">
      <c r="O459" s="14" t="s">
        <v>1020</v>
      </c>
      <c r="P459" s="24">
        <v>4</v>
      </c>
      <c r="Q459" s="24">
        <v>4</v>
      </c>
      <c r="R459" s="25" cm="1">
        <f t="array" ref="R459">INDEX($C$3:$G$10,P459,Q459)</f>
        <v>23.4</v>
      </c>
    </row>
    <row r="460" spans="15:18" x14ac:dyDescent="0.3">
      <c r="O460" s="14" t="s">
        <v>923</v>
      </c>
      <c r="P460" s="24">
        <v>6</v>
      </c>
      <c r="Q460" s="24">
        <v>4</v>
      </c>
      <c r="R460" s="25" cm="1">
        <f t="array" ref="R460">INDEX($C$3:$G$10,P460,Q460)</f>
        <v>31.92</v>
      </c>
    </row>
    <row r="461" spans="15:18" x14ac:dyDescent="0.3">
      <c r="O461" s="14" t="s">
        <v>928</v>
      </c>
      <c r="P461" s="24">
        <v>7</v>
      </c>
      <c r="Q461" s="24">
        <v>2</v>
      </c>
      <c r="R461" s="25" cm="1">
        <f t="array" ref="R461">INDEX($C$3:$G$10,P461,Q461)</f>
        <v>28.19</v>
      </c>
    </row>
    <row r="462" spans="15:18" x14ac:dyDescent="0.3">
      <c r="O462" s="14" t="s">
        <v>1247</v>
      </c>
      <c r="P462" s="24">
        <v>7</v>
      </c>
      <c r="Q462" s="24">
        <v>3</v>
      </c>
      <c r="R462" s="25" cm="1">
        <f t="array" ref="R462">INDEX($C$3:$G$10,P462,Q462)</f>
        <v>35.18</v>
      </c>
    </row>
    <row r="463" spans="15:18" x14ac:dyDescent="0.3">
      <c r="O463" s="14" t="s">
        <v>943</v>
      </c>
      <c r="P463" s="24">
        <v>6</v>
      </c>
      <c r="Q463" s="24">
        <v>4</v>
      </c>
      <c r="R463" s="25" cm="1">
        <f t="array" ref="R463">INDEX($C$3:$G$10,P463,Q463)</f>
        <v>31.92</v>
      </c>
    </row>
    <row r="464" spans="15:18" x14ac:dyDescent="0.3">
      <c r="O464" s="14" t="s">
        <v>1044</v>
      </c>
      <c r="P464" s="24">
        <v>6</v>
      </c>
      <c r="Q464" s="24">
        <v>1</v>
      </c>
      <c r="R464" s="25" cm="1">
        <f t="array" ref="R464">INDEX($C$3:$G$10,P464,Q464)</f>
        <v>21.52</v>
      </c>
    </row>
    <row r="465" spans="15:18" x14ac:dyDescent="0.3">
      <c r="O465" s="14" t="s">
        <v>1106</v>
      </c>
      <c r="P465" s="24">
        <v>5</v>
      </c>
      <c r="Q465" s="24">
        <v>1</v>
      </c>
      <c r="R465" s="25" cm="1">
        <f t="array" ref="R465">INDEX($C$3:$G$10,P465,Q465)</f>
        <v>18.59</v>
      </c>
    </row>
    <row r="466" spans="15:18" x14ac:dyDescent="0.3">
      <c r="O466" s="14" t="s">
        <v>1166</v>
      </c>
      <c r="P466" s="24">
        <v>4</v>
      </c>
      <c r="Q466" s="24">
        <v>4</v>
      </c>
      <c r="R466" s="25" cm="1">
        <f t="array" ref="R466">INDEX($C$3:$G$10,P466,Q466)</f>
        <v>23.4</v>
      </c>
    </row>
    <row r="467" spans="15:18" x14ac:dyDescent="0.3">
      <c r="O467" s="14" t="s">
        <v>1159</v>
      </c>
      <c r="P467" s="24">
        <v>3</v>
      </c>
      <c r="Q467" s="24">
        <v>1</v>
      </c>
      <c r="R467" s="25" cm="1">
        <f t="array" ref="R467">INDEX($C$3:$G$10,P467,Q467)</f>
        <v>16.2</v>
      </c>
    </row>
    <row r="468" spans="15:18" x14ac:dyDescent="0.3">
      <c r="O468" s="14" t="s">
        <v>1283</v>
      </c>
      <c r="P468" s="24">
        <v>2</v>
      </c>
      <c r="Q468" s="24">
        <v>2</v>
      </c>
      <c r="R468" s="25" cm="1">
        <f t="array" ref="R468">INDEX($C$3:$G$10,P468,Q468)</f>
        <v>14.8</v>
      </c>
    </row>
    <row r="469" spans="15:18" x14ac:dyDescent="0.3">
      <c r="O469" s="14" t="s">
        <v>1260</v>
      </c>
      <c r="P469" s="24">
        <v>2</v>
      </c>
      <c r="Q469" s="24">
        <v>3</v>
      </c>
      <c r="R469" s="25" cm="1">
        <f t="array" ref="R469">INDEX($C$3:$G$10,P469,Q469)</f>
        <v>15.32</v>
      </c>
    </row>
    <row r="470" spans="15:18" x14ac:dyDescent="0.3">
      <c r="O470" s="14" t="s">
        <v>1337</v>
      </c>
      <c r="P470" s="24">
        <v>7</v>
      </c>
      <c r="Q470" s="24">
        <v>2</v>
      </c>
      <c r="R470" s="25" cm="1">
        <f t="array" ref="R470">INDEX($C$3:$G$10,P470,Q470)</f>
        <v>28.19</v>
      </c>
    </row>
    <row r="471" spans="15:18" x14ac:dyDescent="0.3">
      <c r="O471" s="14" t="s">
        <v>1185</v>
      </c>
      <c r="P471" s="24">
        <v>1</v>
      </c>
      <c r="Q471" s="24">
        <v>1</v>
      </c>
      <c r="R471" s="25" cm="1">
        <f t="array" ref="R471">INDEX($C$3:$G$10,P471,Q471)</f>
        <v>13.129999999999999</v>
      </c>
    </row>
    <row r="472" spans="15:18" x14ac:dyDescent="0.3">
      <c r="O472" s="14" t="s">
        <v>1018</v>
      </c>
      <c r="P472" s="24">
        <v>6</v>
      </c>
      <c r="Q472" s="24">
        <v>1</v>
      </c>
      <c r="R472" s="25" cm="1">
        <f t="array" ref="R472">INDEX($C$3:$G$10,P472,Q472)</f>
        <v>21.52</v>
      </c>
    </row>
    <row r="473" spans="15:18" x14ac:dyDescent="0.3">
      <c r="O473" s="14" t="s">
        <v>1270</v>
      </c>
      <c r="P473" s="24">
        <v>5</v>
      </c>
      <c r="Q473" s="24">
        <v>2</v>
      </c>
      <c r="R473" s="25" cm="1">
        <f t="array" ref="R473">INDEX($C$3:$G$10,P473,Q473)</f>
        <v>19.86</v>
      </c>
    </row>
    <row r="474" spans="15:18" x14ac:dyDescent="0.3">
      <c r="O474" s="14" t="s">
        <v>1085</v>
      </c>
      <c r="P474" s="24">
        <v>6</v>
      </c>
      <c r="Q474" s="24">
        <v>3</v>
      </c>
      <c r="R474" s="25" cm="1">
        <f t="array" ref="R474">INDEX($C$3:$G$10,P474,Q474)</f>
        <v>28.53</v>
      </c>
    </row>
    <row r="475" spans="15:18" x14ac:dyDescent="0.3">
      <c r="O475" s="14" t="s">
        <v>1182</v>
      </c>
      <c r="P475" s="24">
        <v>1</v>
      </c>
      <c r="Q475" s="24">
        <v>4</v>
      </c>
      <c r="R475" s="25" cm="1">
        <f t="array" ref="R475">INDEX($C$3:$G$10,P475,Q475)</f>
        <v>18.25</v>
      </c>
    </row>
    <row r="476" spans="15:18" x14ac:dyDescent="0.3">
      <c r="O476" s="14" t="s">
        <v>1102</v>
      </c>
      <c r="P476" s="24">
        <v>6</v>
      </c>
      <c r="Q476" s="24">
        <v>4</v>
      </c>
      <c r="R476" s="25" cm="1">
        <f t="array" ref="R476">INDEX($C$3:$G$10,P476,Q476)</f>
        <v>31.92</v>
      </c>
    </row>
    <row r="477" spans="15:18" x14ac:dyDescent="0.3">
      <c r="O477" s="14" t="s">
        <v>1064</v>
      </c>
      <c r="P477" s="24">
        <v>2</v>
      </c>
      <c r="Q477" s="24">
        <v>3</v>
      </c>
      <c r="R477" s="25" cm="1">
        <f t="array" ref="R477">INDEX($C$3:$G$10,P477,Q477)</f>
        <v>15.32</v>
      </c>
    </row>
    <row r="478" spans="15:18" x14ac:dyDescent="0.3">
      <c r="O478" s="14" t="s">
        <v>884</v>
      </c>
      <c r="P478" s="24">
        <v>7</v>
      </c>
      <c r="Q478" s="24">
        <v>2</v>
      </c>
      <c r="R478" s="25" cm="1">
        <f t="array" ref="R478">INDEX($C$3:$G$10,P478,Q478)</f>
        <v>28.19</v>
      </c>
    </row>
    <row r="479" spans="15:18" x14ac:dyDescent="0.3">
      <c r="O479" s="14" t="s">
        <v>1349</v>
      </c>
      <c r="P479" s="24">
        <v>7</v>
      </c>
      <c r="Q479" s="24">
        <v>2</v>
      </c>
      <c r="R479" s="25" cm="1">
        <f t="array" ref="R479">INDEX($C$3:$G$10,P479,Q479)</f>
        <v>28.19</v>
      </c>
    </row>
    <row r="480" spans="15:18" x14ac:dyDescent="0.3">
      <c r="O480" s="14" t="s">
        <v>983</v>
      </c>
      <c r="P480" s="24">
        <v>7</v>
      </c>
      <c r="Q480" s="24">
        <v>1</v>
      </c>
      <c r="R480" s="25" cm="1">
        <f t="array" ref="R480">INDEX($C$3:$G$10,P480,Q480)</f>
        <v>23.99</v>
      </c>
    </row>
    <row r="481" spans="15:18" x14ac:dyDescent="0.3">
      <c r="O481" s="14" t="s">
        <v>1280</v>
      </c>
      <c r="P481" s="24">
        <v>2</v>
      </c>
      <c r="Q481" s="24">
        <v>4</v>
      </c>
      <c r="R481" s="25" cm="1">
        <f t="array" ref="R481">INDEX($C$3:$G$10,P481,Q481)</f>
        <v>17.53</v>
      </c>
    </row>
    <row r="482" spans="15:18" x14ac:dyDescent="0.3">
      <c r="O482" s="14" t="s">
        <v>885</v>
      </c>
      <c r="P482" s="24">
        <v>5</v>
      </c>
      <c r="Q482" s="24">
        <v>3</v>
      </c>
      <c r="R482" s="25" cm="1">
        <f t="array" ref="R482">INDEX($C$3:$G$10,P482,Q482)</f>
        <v>23.6</v>
      </c>
    </row>
    <row r="483" spans="15:18" x14ac:dyDescent="0.3">
      <c r="O483" s="14" t="s">
        <v>1091</v>
      </c>
      <c r="P483" s="24">
        <v>2</v>
      </c>
      <c r="Q483" s="24">
        <v>4</v>
      </c>
      <c r="R483" s="25" cm="1">
        <f t="array" ref="R483">INDEX($C$3:$G$10,P483,Q483)</f>
        <v>17.53</v>
      </c>
    </row>
    <row r="484" spans="15:18" x14ac:dyDescent="0.3">
      <c r="O484" s="14" t="s">
        <v>1208</v>
      </c>
      <c r="P484" s="24">
        <v>1</v>
      </c>
      <c r="Q484" s="24">
        <v>2</v>
      </c>
      <c r="R484" s="25" cm="1">
        <f t="array" ref="R484">INDEX($C$3:$G$10,P484,Q484)</f>
        <v>11.18</v>
      </c>
    </row>
    <row r="485" spans="15:18" x14ac:dyDescent="0.3">
      <c r="O485" s="14" t="s">
        <v>1189</v>
      </c>
      <c r="P485" s="24">
        <v>7</v>
      </c>
      <c r="Q485" s="24">
        <v>3</v>
      </c>
      <c r="R485" s="25" cm="1">
        <f t="array" ref="R485">INDEX($C$3:$G$10,P485,Q485)</f>
        <v>35.18</v>
      </c>
    </row>
    <row r="486" spans="15:18" x14ac:dyDescent="0.3">
      <c r="O486" s="14" t="s">
        <v>1344</v>
      </c>
      <c r="P486" s="24">
        <v>7</v>
      </c>
      <c r="Q486" s="24">
        <v>5</v>
      </c>
      <c r="R486" s="25" cm="1">
        <f t="array" ref="R486">INDEX($C$3:$G$10,P486,Q486)</f>
        <v>41.2</v>
      </c>
    </row>
    <row r="487" spans="15:18" x14ac:dyDescent="0.3">
      <c r="O487" s="14" t="s">
        <v>985</v>
      </c>
      <c r="P487" s="24">
        <v>4</v>
      </c>
      <c r="Q487" s="24">
        <v>4</v>
      </c>
      <c r="R487" s="25" cm="1">
        <f t="array" ref="R487">INDEX($C$3:$G$10,P487,Q487)</f>
        <v>23.4</v>
      </c>
    </row>
    <row r="488" spans="15:18" x14ac:dyDescent="0.3">
      <c r="O488" s="14" t="s">
        <v>927</v>
      </c>
      <c r="P488" s="24">
        <v>2</v>
      </c>
      <c r="Q488" s="24">
        <v>5</v>
      </c>
      <c r="R488" s="25" cm="1">
        <f t="array" ref="R488">INDEX($C$3:$G$10,P488,Q488)</f>
        <v>21.59</v>
      </c>
    </row>
    <row r="489" spans="15:18" x14ac:dyDescent="0.3">
      <c r="O489" s="14" t="s">
        <v>1211</v>
      </c>
      <c r="P489" s="24">
        <v>1</v>
      </c>
      <c r="Q489" s="24">
        <v>4</v>
      </c>
      <c r="R489" s="25" cm="1">
        <f t="array" ref="R489">INDEX($C$3:$G$10,P489,Q489)</f>
        <v>18.25</v>
      </c>
    </row>
    <row r="490" spans="15:18" x14ac:dyDescent="0.3">
      <c r="O490" s="14" t="s">
        <v>1350</v>
      </c>
      <c r="P490" s="24">
        <v>4</v>
      </c>
      <c r="Q490" s="24">
        <v>3</v>
      </c>
      <c r="R490" s="25" cm="1">
        <f t="array" ref="R490">INDEX($C$3:$G$10,P490,Q490)</f>
        <v>21.34</v>
      </c>
    </row>
    <row r="491" spans="15:18" x14ac:dyDescent="0.3">
      <c r="O491" s="14" t="s">
        <v>1228</v>
      </c>
      <c r="P491" s="24">
        <v>8</v>
      </c>
      <c r="Q491" s="24">
        <v>5</v>
      </c>
      <c r="R491" s="25" cm="1">
        <f t="array" ref="R491">INDEX($C$3:$G$10,P491,Q491)</f>
        <v>47.4</v>
      </c>
    </row>
    <row r="492" spans="15:18" x14ac:dyDescent="0.3">
      <c r="O492" s="14" t="s">
        <v>1160</v>
      </c>
      <c r="P492" s="24">
        <v>2</v>
      </c>
      <c r="Q492" s="24">
        <v>5</v>
      </c>
      <c r="R492" s="25" cm="1">
        <f t="array" ref="R492">INDEX($C$3:$G$10,P492,Q492)</f>
        <v>21.59</v>
      </c>
    </row>
    <row r="493" spans="15:18" x14ac:dyDescent="0.3">
      <c r="O493" s="14" t="s">
        <v>1335</v>
      </c>
      <c r="P493" s="24">
        <v>2</v>
      </c>
      <c r="Q493" s="24">
        <v>5</v>
      </c>
      <c r="R493" s="25" cm="1">
        <f t="array" ref="R493">INDEX($C$3:$G$10,P493,Q493)</f>
        <v>21.59</v>
      </c>
    </row>
    <row r="494" spans="15:18" x14ac:dyDescent="0.3">
      <c r="O494" s="14" t="s">
        <v>974</v>
      </c>
      <c r="P494" s="24">
        <v>8</v>
      </c>
      <c r="Q494" s="24">
        <v>2</v>
      </c>
      <c r="R494" s="25" cm="1">
        <f t="array" ref="R494">INDEX($C$3:$G$10,P494,Q494)</f>
        <v>34.97</v>
      </c>
    </row>
    <row r="495" spans="15:18" x14ac:dyDescent="0.3">
      <c r="O495" s="14" t="s">
        <v>1306</v>
      </c>
      <c r="P495" s="24">
        <v>3</v>
      </c>
      <c r="Q495" s="24">
        <v>1</v>
      </c>
      <c r="R495" s="25" cm="1">
        <f t="array" ref="R495">INDEX($C$3:$G$10,P495,Q495)</f>
        <v>16.2</v>
      </c>
    </row>
    <row r="496" spans="15:18" x14ac:dyDescent="0.3">
      <c r="O496" s="14" t="s">
        <v>906</v>
      </c>
      <c r="P496" s="24">
        <v>6</v>
      </c>
      <c r="Q496" s="24">
        <v>4</v>
      </c>
      <c r="R496" s="25" cm="1">
        <f t="array" ref="R496">INDEX($C$3:$G$10,P496,Q496)</f>
        <v>31.92</v>
      </c>
    </row>
    <row r="497" spans="15:18" x14ac:dyDescent="0.3">
      <c r="O497" s="14" t="s">
        <v>887</v>
      </c>
      <c r="P497" s="24">
        <v>2</v>
      </c>
      <c r="Q497" s="24">
        <v>4</v>
      </c>
      <c r="R497" s="25" cm="1">
        <f t="array" ref="R497">INDEX($C$3:$G$10,P497,Q497)</f>
        <v>17.53</v>
      </c>
    </row>
    <row r="498" spans="15:18" x14ac:dyDescent="0.3">
      <c r="R498" s="25"/>
    </row>
    <row r="499" spans="15:18" x14ac:dyDescent="0.3">
      <c r="R499" s="25"/>
    </row>
    <row r="500" spans="15:18" x14ac:dyDescent="0.3">
      <c r="R500" s="25"/>
    </row>
    <row r="501" spans="15:18" x14ac:dyDescent="0.3">
      <c r="R501" s="25"/>
    </row>
  </sheetData>
  <mergeCells count="1">
    <mergeCell ref="A3:A10"/>
  </mergeCells>
  <conditionalFormatting sqref="C3:I10 H1:I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4:N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EAAB-7552-4601-9307-D020F7AE6657}">
  <sheetPr>
    <tabColor rgb="FFFFFF00"/>
  </sheetPr>
  <dimension ref="A1:K16"/>
  <sheetViews>
    <sheetView zoomScale="145" zoomScaleNormal="145" zoomScalePageLayoutView="145" workbookViewId="0">
      <selection activeCell="J8" sqref="J8"/>
    </sheetView>
  </sheetViews>
  <sheetFormatPr defaultColWidth="9.109375" defaultRowHeight="14.4" x14ac:dyDescent="0.3"/>
  <cols>
    <col min="1" max="1" width="5.44140625" style="1" bestFit="1" customWidth="1"/>
    <col min="2" max="5" width="8.5546875" style="1" customWidth="1"/>
    <col min="6" max="6" width="11.109375" style="1" customWidth="1"/>
    <col min="7" max="7" width="2.109375" style="1" customWidth="1"/>
    <col min="8" max="8" width="1.5546875" style="1" customWidth="1"/>
    <col min="9" max="9" width="8" style="1" bestFit="1" customWidth="1"/>
    <col min="10" max="10" width="10.21875" style="1" customWidth="1"/>
    <col min="11" max="11" width="9.109375" style="1" customWidth="1"/>
    <col min="12" max="12" width="13.6640625" style="1" customWidth="1"/>
    <col min="13" max="16384" width="9.109375" style="1"/>
  </cols>
  <sheetData>
    <row r="1" spans="1:11" x14ac:dyDescent="0.3">
      <c r="B1" s="10" t="s">
        <v>1356</v>
      </c>
      <c r="C1" s="10" t="s">
        <v>1355</v>
      </c>
      <c r="D1" s="10" t="s">
        <v>1357</v>
      </c>
      <c r="E1" s="10" t="s">
        <v>1358</v>
      </c>
      <c r="F1" s="10" t="s">
        <v>761</v>
      </c>
    </row>
    <row r="2" spans="1:11" x14ac:dyDescent="0.3">
      <c r="A2" s="5" t="s">
        <v>1365</v>
      </c>
      <c r="B2" s="8">
        <v>8488</v>
      </c>
      <c r="C2" s="8">
        <v>5862</v>
      </c>
      <c r="D2" s="8">
        <v>7538</v>
      </c>
      <c r="E2" s="8">
        <v>6133</v>
      </c>
      <c r="F2" s="9">
        <f t="shared" ref="F2:F13" si="0">SUM(B2:E2)</f>
        <v>28021</v>
      </c>
      <c r="I2" s="3" t="s">
        <v>760</v>
      </c>
      <c r="J2" s="4" t="s">
        <v>1366</v>
      </c>
    </row>
    <row r="3" spans="1:11" x14ac:dyDescent="0.3">
      <c r="A3" s="5" t="s">
        <v>1366</v>
      </c>
      <c r="B3" s="8">
        <v>8761</v>
      </c>
      <c r="C3" s="8">
        <v>4561</v>
      </c>
      <c r="D3" s="8">
        <v>6491</v>
      </c>
      <c r="E3" s="8">
        <v>4400</v>
      </c>
      <c r="F3" s="9">
        <f t="shared" si="0"/>
        <v>24213</v>
      </c>
      <c r="I3" s="3" t="s">
        <v>762</v>
      </c>
      <c r="J3" s="4" t="s">
        <v>1376</v>
      </c>
      <c r="K3" s="4"/>
    </row>
    <row r="4" spans="1:11" x14ac:dyDescent="0.3">
      <c r="A4" s="5" t="s">
        <v>1367</v>
      </c>
      <c r="B4" s="8">
        <v>8239</v>
      </c>
      <c r="C4" s="8">
        <v>4365</v>
      </c>
      <c r="D4" s="8">
        <v>5545</v>
      </c>
      <c r="E4" s="8">
        <v>6906</v>
      </c>
      <c r="F4" s="9">
        <f t="shared" si="0"/>
        <v>25055</v>
      </c>
      <c r="K4" s="4"/>
    </row>
    <row r="5" spans="1:11" x14ac:dyDescent="0.3">
      <c r="A5" s="5" t="s">
        <v>1368</v>
      </c>
      <c r="B5" s="8">
        <v>6517</v>
      </c>
      <c r="C5" s="8">
        <v>6326</v>
      </c>
      <c r="D5" s="8">
        <v>5935</v>
      </c>
      <c r="E5" s="8">
        <v>1440</v>
      </c>
      <c r="F5" s="9">
        <f t="shared" si="0"/>
        <v>20218</v>
      </c>
      <c r="I5" s="7"/>
      <c r="J5" s="6"/>
    </row>
    <row r="6" spans="1:11" x14ac:dyDescent="0.3">
      <c r="A6" s="5" t="s">
        <v>763</v>
      </c>
      <c r="B6" s="8">
        <v>8065</v>
      </c>
      <c r="C6" s="8">
        <v>2662</v>
      </c>
      <c r="D6" s="8">
        <v>6196</v>
      </c>
      <c r="E6" s="8">
        <v>2592</v>
      </c>
      <c r="F6" s="9">
        <f t="shared" si="0"/>
        <v>19515</v>
      </c>
      <c r="J6" s="6" cm="1">
        <f t="array" ref="J6">INDEX(B2:F14,_xlfn.XMATCH(J2,A2:A14),_xlfn.XMATCH(J3,B1:F1))</f>
        <v>6491</v>
      </c>
      <c r="K6" s="6"/>
    </row>
    <row r="7" spans="1:11" x14ac:dyDescent="0.3">
      <c r="A7" s="5" t="s">
        <v>1369</v>
      </c>
      <c r="B7" s="8">
        <v>6479</v>
      </c>
      <c r="C7" s="8">
        <v>3695</v>
      </c>
      <c r="D7" s="8">
        <v>6993</v>
      </c>
      <c r="E7" s="8">
        <v>4979</v>
      </c>
      <c r="F7" s="9">
        <f t="shared" si="0"/>
        <v>22146</v>
      </c>
      <c r="J7" s="6"/>
      <c r="K7" s="6"/>
    </row>
    <row r="8" spans="1:11" x14ac:dyDescent="0.3">
      <c r="A8" s="5" t="s">
        <v>1370</v>
      </c>
      <c r="B8" s="8">
        <v>8393</v>
      </c>
      <c r="C8" s="8">
        <v>3528</v>
      </c>
      <c r="D8" s="8">
        <v>5422</v>
      </c>
      <c r="E8" s="8">
        <v>3202</v>
      </c>
      <c r="F8" s="9">
        <f t="shared" si="0"/>
        <v>20545</v>
      </c>
      <c r="J8" s="44">
        <f>INDEX(B2:F14,MATCH(J2,A2:A14,0),MATCH(J3,B1:F1,0))</f>
        <v>6491</v>
      </c>
      <c r="K8" s="6"/>
    </row>
    <row r="9" spans="1:11" x14ac:dyDescent="0.3">
      <c r="A9" s="5" t="s">
        <v>1371</v>
      </c>
      <c r="B9" s="8">
        <v>8887</v>
      </c>
      <c r="C9" s="8">
        <v>2705</v>
      </c>
      <c r="D9" s="8">
        <v>6600</v>
      </c>
      <c r="E9" s="8">
        <v>2089</v>
      </c>
      <c r="F9" s="9">
        <f t="shared" si="0"/>
        <v>20281</v>
      </c>
    </row>
    <row r="10" spans="1:11" x14ac:dyDescent="0.3">
      <c r="A10" s="5" t="s">
        <v>1372</v>
      </c>
      <c r="B10" s="8">
        <v>7757</v>
      </c>
      <c r="C10" s="8">
        <v>5946</v>
      </c>
      <c r="D10" s="8">
        <v>6180</v>
      </c>
      <c r="E10" s="8">
        <v>2032</v>
      </c>
      <c r="F10" s="9">
        <f t="shared" si="0"/>
        <v>21915</v>
      </c>
      <c r="K10" s="2"/>
    </row>
    <row r="11" spans="1:11" x14ac:dyDescent="0.3">
      <c r="A11" s="5" t="s">
        <v>1373</v>
      </c>
      <c r="B11" s="8">
        <v>8549</v>
      </c>
      <c r="C11" s="8">
        <v>5210</v>
      </c>
      <c r="D11" s="8">
        <v>6279</v>
      </c>
      <c r="E11" s="8">
        <v>3367</v>
      </c>
      <c r="F11" s="9">
        <f t="shared" si="0"/>
        <v>23405</v>
      </c>
      <c r="J11" s="6"/>
      <c r="K11" s="2"/>
    </row>
    <row r="12" spans="1:11" x14ac:dyDescent="0.3">
      <c r="A12" s="5" t="s">
        <v>1374</v>
      </c>
      <c r="B12" s="8">
        <v>7855</v>
      </c>
      <c r="C12" s="8">
        <v>6506</v>
      </c>
      <c r="D12" s="8">
        <v>6491</v>
      </c>
      <c r="E12" s="8">
        <v>5148</v>
      </c>
      <c r="F12" s="9">
        <f t="shared" si="0"/>
        <v>26000</v>
      </c>
      <c r="K12" s="2"/>
    </row>
    <row r="13" spans="1:11" x14ac:dyDescent="0.3">
      <c r="A13" s="5" t="s">
        <v>1375</v>
      </c>
      <c r="B13" s="8">
        <v>8736</v>
      </c>
      <c r="C13" s="8">
        <v>4876</v>
      </c>
      <c r="D13" s="8">
        <v>7132</v>
      </c>
      <c r="E13" s="8">
        <v>5917</v>
      </c>
      <c r="F13" s="9">
        <f t="shared" si="0"/>
        <v>26661</v>
      </c>
      <c r="J13" s="6"/>
      <c r="K13" s="2"/>
    </row>
    <row r="14" spans="1:11" x14ac:dyDescent="0.3">
      <c r="A14" s="5" t="s">
        <v>764</v>
      </c>
      <c r="B14" s="9">
        <f>SUM(B2:B13)</f>
        <v>96726</v>
      </c>
      <c r="C14" s="9">
        <f>SUM(C2:C13)</f>
        <v>56242</v>
      </c>
      <c r="D14" s="9">
        <f>SUM(D2:D13)</f>
        <v>76802</v>
      </c>
      <c r="E14" s="9">
        <f>SUM(E2:E13)</f>
        <v>48205</v>
      </c>
      <c r="F14" s="9">
        <f>SUM(F2:F13)</f>
        <v>277975</v>
      </c>
      <c r="K14" s="2"/>
    </row>
    <row r="16" spans="1:11" x14ac:dyDescent="0.3">
      <c r="F16" s="6"/>
      <c r="G16" s="6"/>
      <c r="H16" s="6"/>
      <c r="I16" s="6"/>
      <c r="J16" s="6"/>
    </row>
  </sheetData>
  <phoneticPr fontId="9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F316-72C2-4B4B-AD94-7AC315494D56}">
  <sheetPr>
    <tabColor rgb="FF92D050"/>
  </sheetPr>
  <dimension ref="A1:H10"/>
  <sheetViews>
    <sheetView workbookViewId="0">
      <selection activeCell="F9" sqref="F9"/>
    </sheetView>
  </sheetViews>
  <sheetFormatPr defaultRowHeight="14.4" x14ac:dyDescent="0.3"/>
  <sheetData>
    <row r="1" spans="1:8" x14ac:dyDescent="0.3">
      <c r="A1" s="46" t="s">
        <v>1377</v>
      </c>
      <c r="B1" s="46" t="s">
        <v>1378</v>
      </c>
      <c r="C1" s="46" t="s">
        <v>781</v>
      </c>
    </row>
    <row r="2" spans="1:8" x14ac:dyDescent="0.3">
      <c r="A2" s="47" t="s">
        <v>1379</v>
      </c>
      <c r="B2" s="47">
        <v>23</v>
      </c>
      <c r="C2" s="47" t="s">
        <v>1380</v>
      </c>
    </row>
    <row r="3" spans="1:8" x14ac:dyDescent="0.3">
      <c r="A3" s="47" t="s">
        <v>1381</v>
      </c>
      <c r="B3" s="47">
        <v>21</v>
      </c>
      <c r="C3" s="47" t="s">
        <v>1382</v>
      </c>
    </row>
    <row r="4" spans="1:8" x14ac:dyDescent="0.3">
      <c r="A4" s="47" t="s">
        <v>1379</v>
      </c>
      <c r="B4" s="47">
        <v>25</v>
      </c>
      <c r="C4" s="47" t="s">
        <v>1383</v>
      </c>
    </row>
    <row r="6" spans="1:8" x14ac:dyDescent="0.3">
      <c r="A6" t="str" cm="1">
        <f t="array" ref="A6:C7">_xlfn._xlws.FILTER(A2:C4, A2:A4="Sana")</f>
        <v>Sana</v>
      </c>
      <c r="B6">
        <v>23</v>
      </c>
      <c r="C6" t="str">
        <v>Doha</v>
      </c>
    </row>
    <row r="7" spans="1:8" x14ac:dyDescent="0.3">
      <c r="A7" t="str">
        <v>Sana</v>
      </c>
      <c r="B7">
        <v>25</v>
      </c>
      <c r="C7" t="str">
        <v>Riyadh</v>
      </c>
    </row>
    <row r="9" spans="1:8" x14ac:dyDescent="0.3">
      <c r="F9" t="str" cm="1">
        <f t="array" ref="F9:H10">_xlfn._xlws.FILTER(A1:C4,A1:A4="Sana")</f>
        <v>Sana</v>
      </c>
      <c r="G9">
        <v>23</v>
      </c>
      <c r="H9" t="str">
        <v>Doha</v>
      </c>
    </row>
    <row r="10" spans="1:8" x14ac:dyDescent="0.3">
      <c r="F10" t="str">
        <v>Sana</v>
      </c>
      <c r="G10">
        <v>25</v>
      </c>
      <c r="H10" t="str">
        <v>Riyadh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0B93-BE2F-48FC-B9E0-15404884A523}">
  <sheetPr>
    <tabColor rgb="FF00B050"/>
  </sheetPr>
  <dimension ref="A1:J20"/>
  <sheetViews>
    <sheetView tabSelected="1" workbookViewId="0">
      <selection activeCell="M18" sqref="M18"/>
    </sheetView>
  </sheetViews>
  <sheetFormatPr defaultRowHeight="14.4" x14ac:dyDescent="0.3"/>
  <cols>
    <col min="8" max="8" width="8.77734375" customWidth="1"/>
    <col min="9" max="9" width="12.5546875" customWidth="1"/>
    <col min="10" max="10" width="5.5546875" customWidth="1"/>
  </cols>
  <sheetData>
    <row r="1" spans="1:10" x14ac:dyDescent="0.3">
      <c r="A1" s="46" t="s">
        <v>1377</v>
      </c>
      <c r="B1" s="46" t="s">
        <v>1378</v>
      </c>
      <c r="C1" s="46" t="s">
        <v>781</v>
      </c>
      <c r="H1" t="s">
        <v>1385</v>
      </c>
      <c r="I1" t="s">
        <v>1386</v>
      </c>
      <c r="J1" t="s">
        <v>1387</v>
      </c>
    </row>
    <row r="2" spans="1:10" x14ac:dyDescent="0.3">
      <c r="A2" s="47" t="s">
        <v>1379</v>
      </c>
      <c r="B2" s="47">
        <v>23</v>
      </c>
      <c r="C2" s="47" t="s">
        <v>1380</v>
      </c>
      <c r="H2">
        <v>1</v>
      </c>
      <c r="I2" t="s">
        <v>1388</v>
      </c>
      <c r="J2">
        <v>200</v>
      </c>
    </row>
    <row r="3" spans="1:10" x14ac:dyDescent="0.3">
      <c r="A3" s="47" t="s">
        <v>1381</v>
      </c>
      <c r="B3" s="47">
        <v>20</v>
      </c>
      <c r="C3" s="47" t="s">
        <v>1382</v>
      </c>
      <c r="H3">
        <v>2</v>
      </c>
      <c r="I3" t="s">
        <v>1389</v>
      </c>
      <c r="J3">
        <v>300</v>
      </c>
    </row>
    <row r="4" spans="1:10" x14ac:dyDescent="0.3">
      <c r="A4" s="47" t="s">
        <v>1379</v>
      </c>
      <c r="B4" s="47">
        <v>25</v>
      </c>
      <c r="C4" s="47" t="s">
        <v>1383</v>
      </c>
      <c r="H4">
        <v>3</v>
      </c>
      <c r="I4" t="s">
        <v>1388</v>
      </c>
      <c r="J4">
        <v>400</v>
      </c>
    </row>
    <row r="5" spans="1:10" x14ac:dyDescent="0.3">
      <c r="A5" s="47" t="s">
        <v>1379</v>
      </c>
      <c r="B5" s="47">
        <v>30</v>
      </c>
      <c r="C5" s="47" t="s">
        <v>1384</v>
      </c>
      <c r="H5">
        <v>1</v>
      </c>
      <c r="I5" t="s">
        <v>1389</v>
      </c>
      <c r="J5">
        <v>500</v>
      </c>
    </row>
    <row r="6" spans="1:10" x14ac:dyDescent="0.3">
      <c r="H6">
        <v>2</v>
      </c>
      <c r="I6" t="s">
        <v>1388</v>
      </c>
      <c r="J6">
        <v>600</v>
      </c>
    </row>
    <row r="7" spans="1:10" x14ac:dyDescent="0.3">
      <c r="A7" t="str" cm="1">
        <f t="array" ref="A7:C9">_xlfn._xlws.FILTER(A2:C5, A2:A5="Sana")</f>
        <v>Sana</v>
      </c>
      <c r="B7">
        <v>23</v>
      </c>
      <c r="C7" t="str">
        <v>Doha</v>
      </c>
      <c r="H7">
        <v>1</v>
      </c>
      <c r="I7" t="s">
        <v>1389</v>
      </c>
      <c r="J7">
        <v>700</v>
      </c>
    </row>
    <row r="8" spans="1:10" x14ac:dyDescent="0.3">
      <c r="A8" t="str">
        <v>Sana</v>
      </c>
      <c r="B8">
        <v>25</v>
      </c>
      <c r="C8" t="str">
        <v>Riyadh</v>
      </c>
    </row>
    <row r="9" spans="1:10" x14ac:dyDescent="0.3">
      <c r="A9" t="str">
        <v>Sana</v>
      </c>
      <c r="B9">
        <v>30</v>
      </c>
      <c r="C9" t="str">
        <v>Qatar</v>
      </c>
    </row>
    <row r="10" spans="1:10" x14ac:dyDescent="0.3">
      <c r="H10" t="s">
        <v>1390</v>
      </c>
      <c r="I10">
        <v>1</v>
      </c>
    </row>
    <row r="11" spans="1:10" x14ac:dyDescent="0.3">
      <c r="H11" t="str" cm="1">
        <f t="array" ref="H11:H13">_xlfn._xlws.FILTER(I2:I7,H2:H7=I10)</f>
        <v>A</v>
      </c>
    </row>
    <row r="12" spans="1:10" x14ac:dyDescent="0.3">
      <c r="H12" t="str">
        <v>B</v>
      </c>
    </row>
    <row r="13" spans="1:10" x14ac:dyDescent="0.3">
      <c r="A13" t="str" cm="1">
        <f t="array" ref="A13:C13">INDEX(_xlfn._xlws.FILTER(A2:C5, A2:A5="Sana"), 2)</f>
        <v>Sana</v>
      </c>
      <c r="B13">
        <v>25</v>
      </c>
      <c r="C13" t="str">
        <v>Riyadh</v>
      </c>
      <c r="H13" t="str">
        <v>B</v>
      </c>
    </row>
    <row r="16" spans="1:10" x14ac:dyDescent="0.3">
      <c r="A16" cm="1">
        <f t="array" ref="A16">INDEX(_xlfn._xlws.FILTER(B2:B5, A2:A5="Sana"), 2)</f>
        <v>25</v>
      </c>
    </row>
    <row r="18" spans="1:1" x14ac:dyDescent="0.3">
      <c r="A18" cm="1">
        <f t="array" ref="A18:A20">_xlfn._xlws.FILTER(B2:B5, A2:A5="Sana")</f>
        <v>23</v>
      </c>
    </row>
    <row r="19" spans="1:1" x14ac:dyDescent="0.3">
      <c r="A19">
        <v>25</v>
      </c>
    </row>
    <row r="20" spans="1:1" x14ac:dyDescent="0.3">
      <c r="A2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</vt:lpstr>
      <vt:lpstr>XMATCH</vt:lpstr>
      <vt:lpstr>INDEX</vt:lpstr>
      <vt:lpstr>INDEX with MATCH</vt:lpstr>
      <vt:lpstr>Filter</vt:lpstr>
      <vt:lpstr>Filter and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taylor</dc:creator>
  <cp:lastModifiedBy>Athar Ahmed</cp:lastModifiedBy>
  <dcterms:created xsi:type="dcterms:W3CDTF">2015-12-06T05:26:50Z</dcterms:created>
  <dcterms:modified xsi:type="dcterms:W3CDTF">2025-11-29T18:18:22Z</dcterms:modified>
</cp:coreProperties>
</file>