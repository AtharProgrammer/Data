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raingFramework\Excel\Session8\"/>
    </mc:Choice>
  </mc:AlternateContent>
  <xr:revisionPtr revIDLastSave="0" documentId="13_ncr:1_{11201C7B-062B-455B-A12D-1E040868F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2" i="1"/>
  <c r="I2" i="1" s="1"/>
</calcChain>
</file>

<file path=xl/sharedStrings.xml><?xml version="1.0" encoding="utf-8"?>
<sst xmlns="http://schemas.openxmlformats.org/spreadsheetml/2006/main" count="210" uniqueCount="115">
  <si>
    <t>ID</t>
  </si>
  <si>
    <t>Name</t>
  </si>
  <si>
    <t>Department</t>
  </si>
  <si>
    <t>Joining Date</t>
  </si>
  <si>
    <t>Salary</t>
  </si>
  <si>
    <t>Performance Score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</si>
  <si>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</si>
  <si>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</si>
  <si>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</si>
  <si>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</si>
  <si>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</si>
  <si>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</si>
  <si>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</si>
  <si>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</si>
  <si>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</si>
  <si>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</si>
  <si>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</si>
  <si>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</si>
  <si>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</si>
  <si>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</si>
  <si>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</si>
  <si>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</si>
  <si>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</si>
  <si>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</si>
  <si>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</si>
  <si>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</si>
  <si>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</si>
  <si>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</si>
  <si>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</si>
  <si>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</si>
  <si>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</si>
  <si>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</si>
  <si>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</si>
  <si>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</si>
  <si>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</si>
  <si>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</si>
  <si>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</si>
  <si>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</si>
  <si>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</si>
  <si>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</si>
  <si>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</si>
  <si>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</si>
  <si>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</si>
  <si>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</si>
  <si>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</si>
  <si>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</si>
  <si>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</si>
  <si>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</si>
  <si>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</si>
  <si>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</si>
  <si>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</si>
  <si>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</si>
  <si>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</si>
  <si>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</si>
  <si>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</si>
  <si>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</si>
  <si>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</si>
  <si>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</si>
  <si>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</si>
  <si>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</si>
  <si>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</si>
  <si>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</si>
  <si>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</si>
  <si>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</si>
  <si>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</si>
  <si>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</si>
  <si>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</si>
  <si>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</si>
  <si>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</si>
  <si>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</si>
  <si>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</si>
  <si>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</si>
  <si>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</si>
  <si>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</si>
  <si>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</si>
  <si>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</si>
  <si>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</si>
  <si>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</si>
  <si>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</si>
  <si>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</si>
  <si>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</si>
  <si>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</si>
  <si>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</si>
  <si>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</si>
  <si>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</si>
  <si>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</si>
  <si>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</si>
  <si>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</si>
  <si>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</si>
  <si>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</si>
  <si>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</si>
  <si>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</si>
  <si>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</si>
  <si>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</si>
  <si>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</si>
  <si>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</si>
  <si>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</si>
  <si>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</si>
  <si>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</si>
  <si>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</si>
  <si>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</si>
  <si>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</si>
  <si>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</si>
  <si>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</si>
  <si>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</si>
  <si>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</si>
  <si>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Sales</t>
  </si>
  <si>
    <t>Marketing</t>
  </si>
  <si>
    <t>IT</t>
  </si>
  <si>
    <t>Finance</t>
  </si>
  <si>
    <t>HR</t>
  </si>
  <si>
    <t>Commission</t>
  </si>
  <si>
    <t>TAX</t>
  </si>
  <si>
    <t>Final Salary</t>
  </si>
  <si>
    <t>Addon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</si>
</sst>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35FD9A5-6964-45D4-8297-944DF5DCB6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5EEBC-95C2-41D2-AAB2-4D003F0A0730}" name="Table1" displayName="Table1" ref="A1:J101" totalsRowShown="0">
  <tableColumns count="10">
    <tableColumn id="1" xr3:uid="{5E4DAA9A-E54F-43BE-8E7E-C219B3F993FF}" name="ID"/>
    <tableColumn id="2" xr3:uid="{81EFD849-2B81-47E7-8B49-FFA5A74E39FA}" name="Name"/>
    <tableColumn id="3" xr3:uid="{1C95B194-1CA7-43EB-98C4-6CC5498967F9}" name="Department"/>
    <tableColumn id="4" xr3:uid="{26A21294-0BE6-4C16-AB2C-9ACD5DB82C6A}" name="Joining Date"/>
    <tableColumn id="5" xr3:uid="{EF54FDF1-535B-43DD-85F7-9F3410022148}" name="Salary"/>
    <tableColumn id="6" xr3:uid="{F0E00329-1EF6-426F-9B69-91FBFC8ED1F6}" name="Performance Score"/>
    <tableColumn id="7" xr3:uid="{FD9C82C8-53BF-4242-B22C-22053BDB5775}" name="Commission">
      <calculatedColumnFormula>E2*3/100</calculatedColumnFormula>
    </tableColumn>
    <tableColumn id="8" xr3:uid="{9EC8D0E9-FC46-4FBE-92E9-0B92F64B210C}" name="TAX">
      <calculatedColumnFormula>E2*2/100</calculatedColumnFormula>
    </tableColumn>
    <tableColumn id="9" xr3:uid="{BE403806-0EF0-45FA-852A-328AD9AE2624}" name="Final Salary">
      <calculatedColumnFormula>E2+G2-H2</calculatedColumnFormula>
    </tableColumn>
    <tableColumn id="10" xr3:uid="{1B7D7AC8-18D2-4412-8713-86D69034B38C}" name="Addon">
      <calculatedColumnFormula>Table1[[#This Row],[Final Salary]]+Table1[[#This Row],[Final Salary]]*10%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1"/>
  <sheetViews>
    <sheetView tabSelected="1" workbookViewId="0">
      <selection activeCell="C10" sqref="A2:J101"/>
    </sheetView>
  </sheetViews>
  <sheetFormatPr defaultRowHeight="14.4" x14ac:dyDescent="0.3"/>
  <cols>
    <col min="1" max="1" width="4.6640625" customWidth="1"/>
    <col min="2" max="2" width="12" bestFit="1" customWidth="1"/>
    <col min="3" max="3" width="13" customWidth="1"/>
    <col min="4" max="4" width="13.109375" customWidth="1"/>
    <col min="5" max="5" width="8" customWidth="1"/>
    <col min="6" max="6" width="18.88671875" customWidth="1"/>
    <col min="7" max="7" width="13.109375" customWidth="1"/>
    <col min="8" max="8" width="8" bestFit="1" customWidth="1"/>
    <col min="9" max="9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111</v>
      </c>
      <c r="H1" t="s">
        <v>112</v>
      </c>
      <c r="I1" t="s">
        <v>113</v>
      </c>
      <c r="J1" t="s">
        <v>114</v>
      </c>
    </row>
    <row r="2" spans="1:10" x14ac:dyDescent="0.3">
      <c r="A2">
        <v>1</v>
      </c>
      <c r="B2" t="s">
        <v>6</v>
      </c>
      <c r="C2" t="s">
        <v>106</v>
      </c>
      <c r="D2">
        <v>43831</v>
      </c>
      <c r="E2">
        <v>82251</v>
      </c>
      <c r="F2">
        <v>6</v>
      </c>
      <c r="G2">
        <f>E2*3/100</f>
        <v>2467.5300000000002</v>
      </c>
      <c r="H2">
        <f>E2*2/100</f>
        <v>1645.02</v>
      </c>
      <c r="I2">
        <f>E2+G2-H2</f>
        <v>83073.509999999995</v>
      </c>
      <c r="J2">
        <f>Table1[[#This Row],[Final Salary]]+Table1[[#This Row],[Final Salary]]*10%</f>
        <v>91380.86099999999</v>
      </c>
    </row>
    <row r="3" spans="1:10" x14ac:dyDescent="0.3">
      <c r="A3">
        <v>2</v>
      </c>
      <c r="B3" t="s">
        <v>7</v>
      </c>
      <c r="C3" t="s">
        <v>107</v>
      </c>
      <c r="D3">
        <v>43846</v>
      </c>
      <c r="E3">
        <v>52662</v>
      </c>
      <c r="F3">
        <v>8</v>
      </c>
      <c r="G3">
        <f t="shared" ref="G3:G66" si="0">E3*3/100</f>
        <v>1579.86</v>
      </c>
      <c r="H3">
        <f t="shared" ref="H3:H66" si="1">E3*2/100</f>
        <v>1053.24</v>
      </c>
      <c r="I3">
        <f t="shared" ref="I3:I66" si="2">E3+G3-H3</f>
        <v>53188.62</v>
      </c>
      <c r="J3">
        <f>Table1[[#This Row],[Final Salary]]+Table1[[#This Row],[Final Salary]]*10%</f>
        <v>58507.482000000004</v>
      </c>
    </row>
    <row r="4" spans="1:10" x14ac:dyDescent="0.3">
      <c r="A4">
        <v>3</v>
      </c>
      <c r="B4" t="s">
        <v>8</v>
      </c>
      <c r="C4" t="s">
        <v>108</v>
      </c>
      <c r="D4">
        <v>43861</v>
      </c>
      <c r="E4">
        <v>38392</v>
      </c>
      <c r="F4">
        <v>5</v>
      </c>
      <c r="G4">
        <f t="shared" si="0"/>
        <v>1151.76</v>
      </c>
      <c r="H4">
        <f t="shared" si="1"/>
        <v>767.84</v>
      </c>
      <c r="I4">
        <f t="shared" si="2"/>
        <v>38775.920000000006</v>
      </c>
      <c r="J4">
        <f>Table1[[#This Row],[Final Salary]]+Table1[[#This Row],[Final Salary]]*10%</f>
        <v>42653.512000000002</v>
      </c>
    </row>
    <row r="5" spans="1:10" x14ac:dyDescent="0.3">
      <c r="A5">
        <v>4</v>
      </c>
      <c r="B5" t="s">
        <v>9</v>
      </c>
      <c r="C5" t="s">
        <v>107</v>
      </c>
      <c r="D5">
        <v>43876</v>
      </c>
      <c r="E5">
        <v>60535</v>
      </c>
      <c r="F5">
        <v>4</v>
      </c>
      <c r="G5">
        <f t="shared" si="0"/>
        <v>1816.05</v>
      </c>
      <c r="H5">
        <f t="shared" si="1"/>
        <v>1210.7</v>
      </c>
      <c r="I5">
        <f t="shared" si="2"/>
        <v>61140.350000000006</v>
      </c>
      <c r="J5">
        <f>Table1[[#This Row],[Final Salary]]+Table1[[#This Row],[Final Salary]]*10%</f>
        <v>67254.385000000009</v>
      </c>
    </row>
    <row r="6" spans="1:10" x14ac:dyDescent="0.3">
      <c r="A6">
        <v>5</v>
      </c>
      <c r="B6" t="s">
        <v>10</v>
      </c>
      <c r="C6" t="s">
        <v>107</v>
      </c>
      <c r="D6">
        <v>43891</v>
      </c>
      <c r="E6">
        <v>108603</v>
      </c>
      <c r="F6">
        <v>2</v>
      </c>
      <c r="G6">
        <f t="shared" si="0"/>
        <v>3258.09</v>
      </c>
      <c r="H6">
        <f t="shared" si="1"/>
        <v>2172.06</v>
      </c>
      <c r="I6">
        <f t="shared" si="2"/>
        <v>109689.03</v>
      </c>
      <c r="J6">
        <f>Table1[[#This Row],[Final Salary]]+Table1[[#This Row],[Final Salary]]*10%</f>
        <v>120657.933</v>
      </c>
    </row>
    <row r="7" spans="1:10" x14ac:dyDescent="0.3">
      <c r="A7">
        <v>6</v>
      </c>
      <c r="B7" t="s">
        <v>11</v>
      </c>
      <c r="C7" t="s">
        <v>109</v>
      </c>
      <c r="D7">
        <v>43906</v>
      </c>
      <c r="E7">
        <v>82256</v>
      </c>
      <c r="F7">
        <v>6</v>
      </c>
      <c r="G7">
        <f t="shared" si="0"/>
        <v>2467.6799999999998</v>
      </c>
      <c r="H7">
        <f t="shared" si="1"/>
        <v>1645.12</v>
      </c>
      <c r="I7">
        <f t="shared" si="2"/>
        <v>83078.559999999998</v>
      </c>
      <c r="J7">
        <f>Table1[[#This Row],[Final Salary]]+Table1[[#This Row],[Final Salary]]*10%</f>
        <v>91386.415999999997</v>
      </c>
    </row>
    <row r="8" spans="1:10" x14ac:dyDescent="0.3">
      <c r="A8">
        <v>7</v>
      </c>
      <c r="B8" t="s">
        <v>12</v>
      </c>
      <c r="C8" t="s">
        <v>108</v>
      </c>
      <c r="D8">
        <v>43921</v>
      </c>
      <c r="E8">
        <v>119135</v>
      </c>
      <c r="F8">
        <v>6</v>
      </c>
      <c r="G8">
        <f t="shared" si="0"/>
        <v>3574.05</v>
      </c>
      <c r="H8">
        <f t="shared" si="1"/>
        <v>2382.6999999999998</v>
      </c>
      <c r="I8">
        <f t="shared" si="2"/>
        <v>120326.35</v>
      </c>
      <c r="J8">
        <f>Table1[[#This Row],[Final Salary]]+Table1[[#This Row],[Final Salary]]*10%</f>
        <v>132358.98500000002</v>
      </c>
    </row>
    <row r="9" spans="1:10" x14ac:dyDescent="0.3">
      <c r="A9">
        <v>8</v>
      </c>
      <c r="B9" t="s">
        <v>13</v>
      </c>
      <c r="C9" t="s">
        <v>108</v>
      </c>
      <c r="D9">
        <v>43936</v>
      </c>
      <c r="E9">
        <v>65222</v>
      </c>
      <c r="F9">
        <v>1</v>
      </c>
      <c r="G9">
        <f t="shared" si="0"/>
        <v>1956.66</v>
      </c>
      <c r="H9">
        <f t="shared" si="1"/>
        <v>1304.44</v>
      </c>
      <c r="I9">
        <f t="shared" si="2"/>
        <v>65874.22</v>
      </c>
      <c r="J9">
        <f>Table1[[#This Row],[Final Salary]]+Table1[[#This Row],[Final Salary]]*10%</f>
        <v>72461.642000000007</v>
      </c>
    </row>
    <row r="10" spans="1:10" x14ac:dyDescent="0.3">
      <c r="A10">
        <v>9</v>
      </c>
      <c r="B10" t="s">
        <v>14</v>
      </c>
      <c r="C10" t="s">
        <v>108</v>
      </c>
      <c r="D10">
        <v>43951</v>
      </c>
      <c r="E10">
        <v>107373</v>
      </c>
      <c r="F10">
        <v>9</v>
      </c>
      <c r="G10">
        <f t="shared" si="0"/>
        <v>3221.19</v>
      </c>
      <c r="H10">
        <f t="shared" si="1"/>
        <v>2147.46</v>
      </c>
      <c r="I10">
        <f t="shared" si="2"/>
        <v>108446.73</v>
      </c>
      <c r="J10">
        <f>Table1[[#This Row],[Final Salary]]+Table1[[#This Row],[Final Salary]]*10%</f>
        <v>119291.40299999999</v>
      </c>
    </row>
    <row r="11" spans="1:10" x14ac:dyDescent="0.3">
      <c r="A11">
        <v>10</v>
      </c>
      <c r="B11" t="s">
        <v>15</v>
      </c>
      <c r="C11" t="s">
        <v>107</v>
      </c>
      <c r="D11">
        <v>43966</v>
      </c>
      <c r="E11">
        <v>109575</v>
      </c>
      <c r="F11">
        <v>6</v>
      </c>
      <c r="G11">
        <f t="shared" si="0"/>
        <v>3287.25</v>
      </c>
      <c r="H11">
        <f t="shared" si="1"/>
        <v>2191.5</v>
      </c>
      <c r="I11">
        <f t="shared" si="2"/>
        <v>110670.75</v>
      </c>
      <c r="J11">
        <f>Table1[[#This Row],[Final Salary]]+Table1[[#This Row],[Final Salary]]*10%</f>
        <v>121737.825</v>
      </c>
    </row>
    <row r="12" spans="1:10" x14ac:dyDescent="0.3">
      <c r="A12">
        <v>11</v>
      </c>
      <c r="B12" t="s">
        <v>16</v>
      </c>
      <c r="C12" t="s">
        <v>106</v>
      </c>
      <c r="D12">
        <v>43981</v>
      </c>
      <c r="E12">
        <v>114651</v>
      </c>
      <c r="F12">
        <v>3</v>
      </c>
      <c r="G12">
        <f t="shared" si="0"/>
        <v>3439.53</v>
      </c>
      <c r="H12">
        <f t="shared" si="1"/>
        <v>2293.02</v>
      </c>
      <c r="I12">
        <f t="shared" si="2"/>
        <v>115797.51</v>
      </c>
      <c r="J12">
        <f>Table1[[#This Row],[Final Salary]]+Table1[[#This Row],[Final Salary]]*10%</f>
        <v>127377.261</v>
      </c>
    </row>
    <row r="13" spans="1:10" x14ac:dyDescent="0.3">
      <c r="A13">
        <v>12</v>
      </c>
      <c r="B13" t="s">
        <v>17</v>
      </c>
      <c r="C13" t="s">
        <v>108</v>
      </c>
      <c r="D13">
        <v>43996</v>
      </c>
      <c r="E13">
        <v>93335</v>
      </c>
      <c r="F13">
        <v>4</v>
      </c>
      <c r="G13">
        <f t="shared" si="0"/>
        <v>2800.05</v>
      </c>
      <c r="H13">
        <f t="shared" si="1"/>
        <v>1866.7</v>
      </c>
      <c r="I13">
        <f t="shared" si="2"/>
        <v>94268.35</v>
      </c>
      <c r="J13">
        <f>Table1[[#This Row],[Final Salary]]+Table1[[#This Row],[Final Salary]]*10%</f>
        <v>103695.18500000001</v>
      </c>
    </row>
    <row r="14" spans="1:10" x14ac:dyDescent="0.3">
      <c r="A14">
        <v>13</v>
      </c>
      <c r="B14" t="s">
        <v>18</v>
      </c>
      <c r="C14" t="s">
        <v>107</v>
      </c>
      <c r="D14">
        <v>44011</v>
      </c>
      <c r="E14">
        <v>40965</v>
      </c>
      <c r="F14">
        <v>4</v>
      </c>
      <c r="G14">
        <f t="shared" si="0"/>
        <v>1228.95</v>
      </c>
      <c r="H14">
        <f t="shared" si="1"/>
        <v>819.3</v>
      </c>
      <c r="I14">
        <f t="shared" si="2"/>
        <v>41374.649999999994</v>
      </c>
      <c r="J14">
        <f>Table1[[#This Row],[Final Salary]]+Table1[[#This Row],[Final Salary]]*10%</f>
        <v>45512.114999999991</v>
      </c>
    </row>
    <row r="15" spans="1:10" x14ac:dyDescent="0.3">
      <c r="A15">
        <v>14</v>
      </c>
      <c r="B15" t="s">
        <v>19</v>
      </c>
      <c r="C15" t="s">
        <v>109</v>
      </c>
      <c r="D15">
        <v>44026</v>
      </c>
      <c r="E15">
        <v>54538</v>
      </c>
      <c r="F15">
        <v>3</v>
      </c>
      <c r="G15">
        <f t="shared" si="0"/>
        <v>1636.14</v>
      </c>
      <c r="H15">
        <f t="shared" si="1"/>
        <v>1090.76</v>
      </c>
      <c r="I15">
        <f t="shared" si="2"/>
        <v>55083.38</v>
      </c>
      <c r="J15">
        <f>Table1[[#This Row],[Final Salary]]+Table1[[#This Row],[Final Salary]]*10%</f>
        <v>60591.717999999993</v>
      </c>
    </row>
    <row r="16" spans="1:10" x14ac:dyDescent="0.3">
      <c r="A16">
        <v>15</v>
      </c>
      <c r="B16" t="s">
        <v>20</v>
      </c>
      <c r="C16" t="s">
        <v>106</v>
      </c>
      <c r="D16">
        <v>44041</v>
      </c>
      <c r="E16">
        <v>100592</v>
      </c>
      <c r="F16">
        <v>3</v>
      </c>
      <c r="G16">
        <f t="shared" si="0"/>
        <v>3017.76</v>
      </c>
      <c r="H16">
        <f t="shared" si="1"/>
        <v>2011.84</v>
      </c>
      <c r="I16">
        <f t="shared" si="2"/>
        <v>101597.92</v>
      </c>
      <c r="J16">
        <f>Table1[[#This Row],[Final Salary]]+Table1[[#This Row],[Final Salary]]*10%</f>
        <v>111757.712</v>
      </c>
    </row>
    <row r="17" spans="1:10" x14ac:dyDescent="0.3">
      <c r="A17">
        <v>16</v>
      </c>
      <c r="B17" t="s">
        <v>21</v>
      </c>
      <c r="C17" t="s">
        <v>109</v>
      </c>
      <c r="D17">
        <v>44056</v>
      </c>
      <c r="E17">
        <v>38110</v>
      </c>
      <c r="F17">
        <v>3</v>
      </c>
      <c r="G17">
        <f t="shared" si="0"/>
        <v>1143.3</v>
      </c>
      <c r="H17">
        <f t="shared" si="1"/>
        <v>762.2</v>
      </c>
      <c r="I17">
        <f t="shared" si="2"/>
        <v>38491.100000000006</v>
      </c>
      <c r="J17">
        <f>Table1[[#This Row],[Final Salary]]+Table1[[#This Row],[Final Salary]]*10%</f>
        <v>42340.210000000006</v>
      </c>
    </row>
    <row r="18" spans="1:10" x14ac:dyDescent="0.3">
      <c r="A18">
        <v>17</v>
      </c>
      <c r="B18" t="s">
        <v>22</v>
      </c>
      <c r="C18" t="s">
        <v>106</v>
      </c>
      <c r="D18">
        <v>44071</v>
      </c>
      <c r="E18">
        <v>109309</v>
      </c>
      <c r="F18">
        <v>4</v>
      </c>
      <c r="G18">
        <f t="shared" si="0"/>
        <v>3279.27</v>
      </c>
      <c r="H18">
        <f t="shared" si="1"/>
        <v>2186.1799999999998</v>
      </c>
      <c r="I18">
        <f t="shared" si="2"/>
        <v>110402.09000000001</v>
      </c>
      <c r="J18">
        <f>Table1[[#This Row],[Final Salary]]+Table1[[#This Row],[Final Salary]]*10%</f>
        <v>121442.29900000001</v>
      </c>
    </row>
    <row r="19" spans="1:10" x14ac:dyDescent="0.3">
      <c r="A19">
        <v>18</v>
      </c>
      <c r="B19" t="s">
        <v>23</v>
      </c>
      <c r="C19" t="s">
        <v>107</v>
      </c>
      <c r="D19">
        <v>44086</v>
      </c>
      <c r="E19">
        <v>57266</v>
      </c>
      <c r="F19">
        <v>7</v>
      </c>
      <c r="G19">
        <f t="shared" si="0"/>
        <v>1717.98</v>
      </c>
      <c r="H19">
        <f t="shared" si="1"/>
        <v>1145.32</v>
      </c>
      <c r="I19">
        <f t="shared" si="2"/>
        <v>57838.66</v>
      </c>
      <c r="J19">
        <f>Table1[[#This Row],[Final Salary]]+Table1[[#This Row],[Final Salary]]*10%</f>
        <v>63622.526000000005</v>
      </c>
    </row>
    <row r="20" spans="1:10" x14ac:dyDescent="0.3">
      <c r="A20">
        <v>19</v>
      </c>
      <c r="B20" t="s">
        <v>24</v>
      </c>
      <c r="C20" t="s">
        <v>110</v>
      </c>
      <c r="D20">
        <v>44101</v>
      </c>
      <c r="E20">
        <v>82992</v>
      </c>
      <c r="F20">
        <v>4</v>
      </c>
      <c r="G20">
        <f t="shared" si="0"/>
        <v>2489.7600000000002</v>
      </c>
      <c r="H20">
        <f t="shared" si="1"/>
        <v>1659.84</v>
      </c>
      <c r="I20">
        <f t="shared" si="2"/>
        <v>83821.919999999998</v>
      </c>
      <c r="J20">
        <f>Table1[[#This Row],[Final Salary]]+Table1[[#This Row],[Final Salary]]*10%</f>
        <v>92204.111999999994</v>
      </c>
    </row>
    <row r="21" spans="1:10" x14ac:dyDescent="0.3">
      <c r="A21">
        <v>20</v>
      </c>
      <c r="B21" t="s">
        <v>25</v>
      </c>
      <c r="C21" t="s">
        <v>106</v>
      </c>
      <c r="D21">
        <v>44116</v>
      </c>
      <c r="E21">
        <v>112948</v>
      </c>
      <c r="F21">
        <v>9</v>
      </c>
      <c r="G21">
        <f t="shared" si="0"/>
        <v>3388.44</v>
      </c>
      <c r="H21">
        <f t="shared" si="1"/>
        <v>2258.96</v>
      </c>
      <c r="I21">
        <f t="shared" si="2"/>
        <v>114077.48</v>
      </c>
      <c r="J21">
        <f>Table1[[#This Row],[Final Salary]]+Table1[[#This Row],[Final Salary]]*10%</f>
        <v>125485.228</v>
      </c>
    </row>
    <row r="22" spans="1:10" x14ac:dyDescent="0.3">
      <c r="A22">
        <v>21</v>
      </c>
      <c r="B22" t="s">
        <v>26</v>
      </c>
      <c r="C22" t="s">
        <v>109</v>
      </c>
      <c r="D22">
        <v>44131</v>
      </c>
      <c r="E22">
        <v>36910</v>
      </c>
      <c r="F22">
        <v>1</v>
      </c>
      <c r="G22">
        <f t="shared" si="0"/>
        <v>1107.3</v>
      </c>
      <c r="H22">
        <f t="shared" si="1"/>
        <v>738.2</v>
      </c>
      <c r="I22">
        <f t="shared" si="2"/>
        <v>37279.100000000006</v>
      </c>
      <c r="J22">
        <f>Table1[[#This Row],[Final Salary]]+Table1[[#This Row],[Final Salary]]*10%</f>
        <v>41007.010000000009</v>
      </c>
    </row>
    <row r="23" spans="1:10" x14ac:dyDescent="0.3">
      <c r="A23">
        <v>22</v>
      </c>
      <c r="B23" t="s">
        <v>27</v>
      </c>
      <c r="C23" t="s">
        <v>107</v>
      </c>
      <c r="D23">
        <v>44146</v>
      </c>
      <c r="E23">
        <v>30206</v>
      </c>
      <c r="F23">
        <v>8</v>
      </c>
      <c r="G23">
        <f t="shared" si="0"/>
        <v>906.18</v>
      </c>
      <c r="H23">
        <f t="shared" si="1"/>
        <v>604.12</v>
      </c>
      <c r="I23">
        <f t="shared" si="2"/>
        <v>30508.06</v>
      </c>
      <c r="J23">
        <f>Table1[[#This Row],[Final Salary]]+Table1[[#This Row],[Final Salary]]*10%</f>
        <v>33558.866000000002</v>
      </c>
    </row>
    <row r="24" spans="1:10" x14ac:dyDescent="0.3">
      <c r="A24">
        <v>23</v>
      </c>
      <c r="B24" t="s">
        <v>28</v>
      </c>
      <c r="C24" t="s">
        <v>106</v>
      </c>
      <c r="D24">
        <v>44161</v>
      </c>
      <c r="E24">
        <v>117054</v>
      </c>
      <c r="F24">
        <v>7</v>
      </c>
      <c r="G24">
        <f t="shared" si="0"/>
        <v>3511.62</v>
      </c>
      <c r="H24">
        <f t="shared" si="1"/>
        <v>2341.08</v>
      </c>
      <c r="I24">
        <f t="shared" si="2"/>
        <v>118224.54</v>
      </c>
      <c r="J24">
        <f>Table1[[#This Row],[Final Salary]]+Table1[[#This Row],[Final Salary]]*10%</f>
        <v>130046.99399999999</v>
      </c>
    </row>
    <row r="25" spans="1:10" x14ac:dyDescent="0.3">
      <c r="A25">
        <v>24</v>
      </c>
      <c r="B25" t="s">
        <v>29</v>
      </c>
      <c r="C25" t="s">
        <v>110</v>
      </c>
      <c r="D25">
        <v>44176</v>
      </c>
      <c r="E25">
        <v>117897</v>
      </c>
      <c r="F25">
        <v>2</v>
      </c>
      <c r="G25">
        <f t="shared" si="0"/>
        <v>3536.91</v>
      </c>
      <c r="H25">
        <f t="shared" si="1"/>
        <v>2357.94</v>
      </c>
      <c r="I25">
        <f t="shared" si="2"/>
        <v>119075.97</v>
      </c>
      <c r="J25">
        <f>Table1[[#This Row],[Final Salary]]+Table1[[#This Row],[Final Salary]]*10%</f>
        <v>130983.56700000001</v>
      </c>
    </row>
    <row r="26" spans="1:10" x14ac:dyDescent="0.3">
      <c r="A26">
        <v>25</v>
      </c>
      <c r="B26" t="s">
        <v>30</v>
      </c>
      <c r="C26" t="s">
        <v>110</v>
      </c>
      <c r="D26">
        <v>44191</v>
      </c>
      <c r="E26">
        <v>53419</v>
      </c>
      <c r="F26">
        <v>8</v>
      </c>
      <c r="G26">
        <f t="shared" si="0"/>
        <v>1602.57</v>
      </c>
      <c r="H26">
        <f t="shared" si="1"/>
        <v>1068.3800000000001</v>
      </c>
      <c r="I26">
        <f t="shared" si="2"/>
        <v>53953.19</v>
      </c>
      <c r="J26">
        <f>Table1[[#This Row],[Final Salary]]+Table1[[#This Row],[Final Salary]]*10%</f>
        <v>59348.509000000005</v>
      </c>
    </row>
    <row r="27" spans="1:10" x14ac:dyDescent="0.3">
      <c r="A27">
        <v>26</v>
      </c>
      <c r="B27" t="s">
        <v>31</v>
      </c>
      <c r="C27" t="s">
        <v>108</v>
      </c>
      <c r="D27">
        <v>44206</v>
      </c>
      <c r="E27">
        <v>80636</v>
      </c>
      <c r="F27">
        <v>1</v>
      </c>
      <c r="G27">
        <f t="shared" si="0"/>
        <v>2419.08</v>
      </c>
      <c r="H27">
        <f t="shared" si="1"/>
        <v>1612.72</v>
      </c>
      <c r="I27">
        <f t="shared" si="2"/>
        <v>81442.36</v>
      </c>
      <c r="J27">
        <f>Table1[[#This Row],[Final Salary]]+Table1[[#This Row],[Final Salary]]*10%</f>
        <v>89586.596000000005</v>
      </c>
    </row>
    <row r="28" spans="1:10" x14ac:dyDescent="0.3">
      <c r="A28">
        <v>27</v>
      </c>
      <c r="B28" t="s">
        <v>32</v>
      </c>
      <c r="C28" t="s">
        <v>108</v>
      </c>
      <c r="D28">
        <v>44221</v>
      </c>
      <c r="E28">
        <v>80015</v>
      </c>
      <c r="F28">
        <v>9</v>
      </c>
      <c r="G28">
        <f t="shared" si="0"/>
        <v>2400.4499999999998</v>
      </c>
      <c r="H28">
        <f t="shared" si="1"/>
        <v>1600.3</v>
      </c>
      <c r="I28">
        <f t="shared" si="2"/>
        <v>80815.149999999994</v>
      </c>
      <c r="J28">
        <f>Table1[[#This Row],[Final Salary]]+Table1[[#This Row],[Final Salary]]*10%</f>
        <v>88896.664999999994</v>
      </c>
    </row>
    <row r="29" spans="1:10" x14ac:dyDescent="0.3">
      <c r="A29">
        <v>28</v>
      </c>
      <c r="B29" t="s">
        <v>33</v>
      </c>
      <c r="C29" t="s">
        <v>109</v>
      </c>
      <c r="D29">
        <v>44236</v>
      </c>
      <c r="E29">
        <v>84268</v>
      </c>
      <c r="F29">
        <v>9</v>
      </c>
      <c r="G29">
        <f t="shared" si="0"/>
        <v>2528.04</v>
      </c>
      <c r="H29">
        <f t="shared" si="1"/>
        <v>1685.36</v>
      </c>
      <c r="I29">
        <f t="shared" si="2"/>
        <v>85110.68</v>
      </c>
      <c r="J29">
        <f>Table1[[#This Row],[Final Salary]]+Table1[[#This Row],[Final Salary]]*10%</f>
        <v>93621.747999999992</v>
      </c>
    </row>
    <row r="30" spans="1:10" x14ac:dyDescent="0.3">
      <c r="A30">
        <v>29</v>
      </c>
      <c r="B30" t="s">
        <v>34</v>
      </c>
      <c r="C30" t="s">
        <v>106</v>
      </c>
      <c r="D30">
        <v>44251</v>
      </c>
      <c r="E30">
        <v>117939</v>
      </c>
      <c r="F30">
        <v>2</v>
      </c>
      <c r="G30">
        <f t="shared" si="0"/>
        <v>3538.17</v>
      </c>
      <c r="H30">
        <f t="shared" si="1"/>
        <v>2358.7800000000002</v>
      </c>
      <c r="I30">
        <f t="shared" si="2"/>
        <v>119118.39</v>
      </c>
      <c r="J30">
        <f>Table1[[#This Row],[Final Salary]]+Table1[[#This Row],[Final Salary]]*10%</f>
        <v>131030.22899999999</v>
      </c>
    </row>
    <row r="31" spans="1:10" x14ac:dyDescent="0.3">
      <c r="A31">
        <v>30</v>
      </c>
      <c r="B31" t="s">
        <v>35</v>
      </c>
      <c r="C31" t="s">
        <v>106</v>
      </c>
      <c r="D31">
        <v>44266</v>
      </c>
      <c r="E31">
        <v>48141</v>
      </c>
      <c r="F31">
        <v>7</v>
      </c>
      <c r="G31">
        <f t="shared" si="0"/>
        <v>1444.23</v>
      </c>
      <c r="H31">
        <f t="shared" si="1"/>
        <v>962.82</v>
      </c>
      <c r="I31">
        <f t="shared" si="2"/>
        <v>48622.41</v>
      </c>
      <c r="J31">
        <f>Table1[[#This Row],[Final Salary]]+Table1[[#This Row],[Final Salary]]*10%</f>
        <v>53484.651000000005</v>
      </c>
    </row>
    <row r="32" spans="1:10" x14ac:dyDescent="0.3">
      <c r="A32">
        <v>31</v>
      </c>
      <c r="B32" t="s">
        <v>36</v>
      </c>
      <c r="C32" t="s">
        <v>108</v>
      </c>
      <c r="D32">
        <v>44281</v>
      </c>
      <c r="E32">
        <v>110356</v>
      </c>
      <c r="F32">
        <v>3</v>
      </c>
      <c r="G32">
        <f t="shared" si="0"/>
        <v>3310.68</v>
      </c>
      <c r="H32">
        <f t="shared" si="1"/>
        <v>2207.12</v>
      </c>
      <c r="I32">
        <f t="shared" si="2"/>
        <v>111459.56</v>
      </c>
      <c r="J32">
        <f>Table1[[#This Row],[Final Salary]]+Table1[[#This Row],[Final Salary]]*10%</f>
        <v>122605.516</v>
      </c>
    </row>
    <row r="33" spans="1:10" x14ac:dyDescent="0.3">
      <c r="A33">
        <v>32</v>
      </c>
      <c r="B33" t="s">
        <v>37</v>
      </c>
      <c r="C33" t="s">
        <v>106</v>
      </c>
      <c r="D33">
        <v>44296</v>
      </c>
      <c r="E33">
        <v>101910</v>
      </c>
      <c r="F33">
        <v>7</v>
      </c>
      <c r="G33">
        <f t="shared" si="0"/>
        <v>3057.3</v>
      </c>
      <c r="H33">
        <f t="shared" si="1"/>
        <v>2038.2</v>
      </c>
      <c r="I33">
        <f t="shared" si="2"/>
        <v>102929.1</v>
      </c>
      <c r="J33">
        <f>Table1[[#This Row],[Final Salary]]+Table1[[#This Row],[Final Salary]]*10%</f>
        <v>113222.01000000001</v>
      </c>
    </row>
    <row r="34" spans="1:10" x14ac:dyDescent="0.3">
      <c r="A34">
        <v>33</v>
      </c>
      <c r="B34" t="s">
        <v>38</v>
      </c>
      <c r="C34" t="s">
        <v>106</v>
      </c>
      <c r="D34">
        <v>44311</v>
      </c>
      <c r="E34">
        <v>86044</v>
      </c>
      <c r="F34">
        <v>9</v>
      </c>
      <c r="G34">
        <f t="shared" si="0"/>
        <v>2581.3200000000002</v>
      </c>
      <c r="H34">
        <f t="shared" si="1"/>
        <v>1720.88</v>
      </c>
      <c r="I34">
        <f t="shared" si="2"/>
        <v>86904.44</v>
      </c>
      <c r="J34">
        <f>Table1[[#This Row],[Final Salary]]+Table1[[#This Row],[Final Salary]]*10%</f>
        <v>95594.884000000005</v>
      </c>
    </row>
    <row r="35" spans="1:10" x14ac:dyDescent="0.3">
      <c r="A35">
        <v>34</v>
      </c>
      <c r="B35" t="s">
        <v>39</v>
      </c>
      <c r="C35" t="s">
        <v>110</v>
      </c>
      <c r="D35">
        <v>44326</v>
      </c>
      <c r="E35">
        <v>97214</v>
      </c>
      <c r="F35">
        <v>4</v>
      </c>
      <c r="G35">
        <f t="shared" si="0"/>
        <v>2916.42</v>
      </c>
      <c r="H35">
        <f t="shared" si="1"/>
        <v>1944.28</v>
      </c>
      <c r="I35">
        <f t="shared" si="2"/>
        <v>98186.14</v>
      </c>
      <c r="J35">
        <f>Table1[[#This Row],[Final Salary]]+Table1[[#This Row],[Final Salary]]*10%</f>
        <v>108004.754</v>
      </c>
    </row>
    <row r="36" spans="1:10" x14ac:dyDescent="0.3">
      <c r="A36">
        <v>35</v>
      </c>
      <c r="B36" t="s">
        <v>40</v>
      </c>
      <c r="C36" t="s">
        <v>108</v>
      </c>
      <c r="D36">
        <v>44341</v>
      </c>
      <c r="E36">
        <v>63827</v>
      </c>
      <c r="F36">
        <v>1</v>
      </c>
      <c r="G36">
        <f t="shared" si="0"/>
        <v>1914.81</v>
      </c>
      <c r="H36">
        <f t="shared" si="1"/>
        <v>1276.54</v>
      </c>
      <c r="I36">
        <f t="shared" si="2"/>
        <v>64465.27</v>
      </c>
      <c r="J36">
        <f>Table1[[#This Row],[Final Salary]]+Table1[[#This Row],[Final Salary]]*10%</f>
        <v>70911.796999999991</v>
      </c>
    </row>
    <row r="37" spans="1:10" x14ac:dyDescent="0.3">
      <c r="A37">
        <v>36</v>
      </c>
      <c r="B37" t="s">
        <v>41</v>
      </c>
      <c r="C37" t="s">
        <v>107</v>
      </c>
      <c r="D37">
        <v>44356</v>
      </c>
      <c r="E37">
        <v>85820</v>
      </c>
      <c r="F37">
        <v>2</v>
      </c>
      <c r="G37">
        <f t="shared" si="0"/>
        <v>2574.6</v>
      </c>
      <c r="H37">
        <f t="shared" si="1"/>
        <v>1716.4</v>
      </c>
      <c r="I37">
        <f t="shared" si="2"/>
        <v>86678.200000000012</v>
      </c>
      <c r="J37">
        <f>Table1[[#This Row],[Final Salary]]+Table1[[#This Row],[Final Salary]]*10%</f>
        <v>95346.020000000019</v>
      </c>
    </row>
    <row r="38" spans="1:10" x14ac:dyDescent="0.3">
      <c r="A38">
        <v>37</v>
      </c>
      <c r="B38" t="s">
        <v>42</v>
      </c>
      <c r="C38" t="s">
        <v>108</v>
      </c>
      <c r="D38">
        <v>44371</v>
      </c>
      <c r="E38">
        <v>92623</v>
      </c>
      <c r="F38">
        <v>1</v>
      </c>
      <c r="G38">
        <f t="shared" si="0"/>
        <v>2778.69</v>
      </c>
      <c r="H38">
        <f t="shared" si="1"/>
        <v>1852.46</v>
      </c>
      <c r="I38">
        <f t="shared" si="2"/>
        <v>93549.23</v>
      </c>
      <c r="J38">
        <f>Table1[[#This Row],[Final Salary]]+Table1[[#This Row],[Final Salary]]*10%</f>
        <v>102904.15299999999</v>
      </c>
    </row>
    <row r="39" spans="1:10" x14ac:dyDescent="0.3">
      <c r="A39">
        <v>38</v>
      </c>
      <c r="B39" t="s">
        <v>43</v>
      </c>
      <c r="C39" t="s">
        <v>107</v>
      </c>
      <c r="D39">
        <v>44386</v>
      </c>
      <c r="E39">
        <v>111734</v>
      </c>
      <c r="F39">
        <v>5</v>
      </c>
      <c r="G39">
        <f t="shared" si="0"/>
        <v>3352.02</v>
      </c>
      <c r="H39">
        <f t="shared" si="1"/>
        <v>2234.6799999999998</v>
      </c>
      <c r="I39">
        <f t="shared" si="2"/>
        <v>112851.34000000001</v>
      </c>
      <c r="J39">
        <f>Table1[[#This Row],[Final Salary]]+Table1[[#This Row],[Final Salary]]*10%</f>
        <v>124136.47400000002</v>
      </c>
    </row>
    <row r="40" spans="1:10" x14ac:dyDescent="0.3">
      <c r="A40">
        <v>39</v>
      </c>
      <c r="B40" t="s">
        <v>44</v>
      </c>
      <c r="C40" t="s">
        <v>110</v>
      </c>
      <c r="D40">
        <v>44401</v>
      </c>
      <c r="E40">
        <v>105450</v>
      </c>
      <c r="F40">
        <v>5</v>
      </c>
      <c r="G40">
        <f t="shared" si="0"/>
        <v>3163.5</v>
      </c>
      <c r="H40">
        <f t="shared" si="1"/>
        <v>2109</v>
      </c>
      <c r="I40">
        <f t="shared" si="2"/>
        <v>106504.5</v>
      </c>
      <c r="J40">
        <f>Table1[[#This Row],[Final Salary]]+Table1[[#This Row],[Final Salary]]*10%</f>
        <v>117154.95</v>
      </c>
    </row>
    <row r="41" spans="1:10" x14ac:dyDescent="0.3">
      <c r="A41">
        <v>40</v>
      </c>
      <c r="B41" t="s">
        <v>45</v>
      </c>
      <c r="C41" t="s">
        <v>109</v>
      </c>
      <c r="D41">
        <v>44416</v>
      </c>
      <c r="E41">
        <v>52299</v>
      </c>
      <c r="F41">
        <v>7</v>
      </c>
      <c r="G41">
        <f t="shared" si="0"/>
        <v>1568.97</v>
      </c>
      <c r="H41">
        <f t="shared" si="1"/>
        <v>1045.98</v>
      </c>
      <c r="I41">
        <f t="shared" si="2"/>
        <v>52821.99</v>
      </c>
      <c r="J41">
        <f>Table1[[#This Row],[Final Salary]]+Table1[[#This Row],[Final Salary]]*10%</f>
        <v>58104.188999999998</v>
      </c>
    </row>
    <row r="42" spans="1:10" x14ac:dyDescent="0.3">
      <c r="A42">
        <v>41</v>
      </c>
      <c r="B42" t="s">
        <v>46</v>
      </c>
      <c r="C42" t="s">
        <v>106</v>
      </c>
      <c r="D42">
        <v>44431</v>
      </c>
      <c r="E42">
        <v>73585</v>
      </c>
      <c r="F42">
        <v>9</v>
      </c>
      <c r="G42">
        <f t="shared" si="0"/>
        <v>2207.5500000000002</v>
      </c>
      <c r="H42">
        <f t="shared" si="1"/>
        <v>1471.7</v>
      </c>
      <c r="I42">
        <f t="shared" si="2"/>
        <v>74320.850000000006</v>
      </c>
      <c r="J42">
        <f>Table1[[#This Row],[Final Salary]]+Table1[[#This Row],[Final Salary]]*10%</f>
        <v>81752.935000000012</v>
      </c>
    </row>
    <row r="43" spans="1:10" x14ac:dyDescent="0.3">
      <c r="A43">
        <v>42</v>
      </c>
      <c r="B43" t="s">
        <v>47</v>
      </c>
      <c r="C43" t="s">
        <v>110</v>
      </c>
      <c r="D43">
        <v>44446</v>
      </c>
      <c r="E43">
        <v>94044</v>
      </c>
      <c r="F43">
        <v>9</v>
      </c>
      <c r="G43">
        <f t="shared" si="0"/>
        <v>2821.32</v>
      </c>
      <c r="H43">
        <f t="shared" si="1"/>
        <v>1880.88</v>
      </c>
      <c r="I43">
        <f t="shared" si="2"/>
        <v>94984.44</v>
      </c>
      <c r="J43">
        <f>Table1[[#This Row],[Final Salary]]+Table1[[#This Row],[Final Salary]]*10%</f>
        <v>104482.88400000001</v>
      </c>
    </row>
    <row r="44" spans="1:10" x14ac:dyDescent="0.3">
      <c r="A44">
        <v>43</v>
      </c>
      <c r="B44" t="s">
        <v>48</v>
      </c>
      <c r="C44" t="s">
        <v>106</v>
      </c>
      <c r="D44">
        <v>44461</v>
      </c>
      <c r="E44">
        <v>72557</v>
      </c>
      <c r="F44">
        <v>3</v>
      </c>
      <c r="G44">
        <f t="shared" si="0"/>
        <v>2176.71</v>
      </c>
      <c r="H44">
        <f t="shared" si="1"/>
        <v>1451.14</v>
      </c>
      <c r="I44">
        <f t="shared" si="2"/>
        <v>73282.570000000007</v>
      </c>
      <c r="J44">
        <f>Table1[[#This Row],[Final Salary]]+Table1[[#This Row],[Final Salary]]*10%</f>
        <v>80610.827000000005</v>
      </c>
    </row>
    <row r="45" spans="1:10" x14ac:dyDescent="0.3">
      <c r="A45">
        <v>44</v>
      </c>
      <c r="B45" t="s">
        <v>49</v>
      </c>
      <c r="C45" t="s">
        <v>109</v>
      </c>
      <c r="D45">
        <v>44476</v>
      </c>
      <c r="E45">
        <v>79080</v>
      </c>
      <c r="F45">
        <v>3</v>
      </c>
      <c r="G45">
        <f t="shared" si="0"/>
        <v>2372.4</v>
      </c>
      <c r="H45">
        <f t="shared" si="1"/>
        <v>1581.6</v>
      </c>
      <c r="I45">
        <f t="shared" si="2"/>
        <v>79870.799999999988</v>
      </c>
      <c r="J45">
        <f>Table1[[#This Row],[Final Salary]]+Table1[[#This Row],[Final Salary]]*10%</f>
        <v>87857.87999999999</v>
      </c>
    </row>
    <row r="46" spans="1:10" x14ac:dyDescent="0.3">
      <c r="A46">
        <v>45</v>
      </c>
      <c r="B46" t="s">
        <v>50</v>
      </c>
      <c r="C46" t="s">
        <v>109</v>
      </c>
      <c r="D46">
        <v>44491</v>
      </c>
      <c r="E46">
        <v>32693</v>
      </c>
      <c r="F46">
        <v>3</v>
      </c>
      <c r="G46">
        <f t="shared" si="0"/>
        <v>980.79</v>
      </c>
      <c r="H46">
        <f t="shared" si="1"/>
        <v>653.86</v>
      </c>
      <c r="I46">
        <f t="shared" si="2"/>
        <v>33019.93</v>
      </c>
      <c r="J46">
        <f>Table1[[#This Row],[Final Salary]]+Table1[[#This Row],[Final Salary]]*10%</f>
        <v>36321.923000000003</v>
      </c>
    </row>
    <row r="47" spans="1:10" x14ac:dyDescent="0.3">
      <c r="A47">
        <v>46</v>
      </c>
      <c r="B47" t="s">
        <v>51</v>
      </c>
      <c r="C47" t="s">
        <v>110</v>
      </c>
      <c r="D47">
        <v>44506</v>
      </c>
      <c r="E47">
        <v>99163</v>
      </c>
      <c r="F47">
        <v>4</v>
      </c>
      <c r="G47">
        <f t="shared" si="0"/>
        <v>2974.89</v>
      </c>
      <c r="H47">
        <f t="shared" si="1"/>
        <v>1983.26</v>
      </c>
      <c r="I47">
        <f t="shared" si="2"/>
        <v>100154.63</v>
      </c>
      <c r="J47">
        <f>Table1[[#This Row],[Final Salary]]+Table1[[#This Row],[Final Salary]]*10%</f>
        <v>110170.09300000001</v>
      </c>
    </row>
    <row r="48" spans="1:10" x14ac:dyDescent="0.3">
      <c r="A48">
        <v>47</v>
      </c>
      <c r="B48" t="s">
        <v>52</v>
      </c>
      <c r="C48" t="s">
        <v>109</v>
      </c>
      <c r="D48">
        <v>44521</v>
      </c>
      <c r="E48">
        <v>55939</v>
      </c>
      <c r="F48">
        <v>8</v>
      </c>
      <c r="G48">
        <f t="shared" si="0"/>
        <v>1678.17</v>
      </c>
      <c r="H48">
        <f t="shared" si="1"/>
        <v>1118.78</v>
      </c>
      <c r="I48">
        <f t="shared" si="2"/>
        <v>56498.39</v>
      </c>
      <c r="J48">
        <f>Table1[[#This Row],[Final Salary]]+Table1[[#This Row],[Final Salary]]*10%</f>
        <v>62148.228999999999</v>
      </c>
    </row>
    <row r="49" spans="1:10" x14ac:dyDescent="0.3">
      <c r="A49">
        <v>48</v>
      </c>
      <c r="B49" t="s">
        <v>53</v>
      </c>
      <c r="C49" t="s">
        <v>107</v>
      </c>
      <c r="D49">
        <v>44536</v>
      </c>
      <c r="E49">
        <v>78925</v>
      </c>
      <c r="F49">
        <v>6</v>
      </c>
      <c r="G49">
        <f t="shared" si="0"/>
        <v>2367.75</v>
      </c>
      <c r="H49">
        <f t="shared" si="1"/>
        <v>1578.5</v>
      </c>
      <c r="I49">
        <f t="shared" si="2"/>
        <v>79714.25</v>
      </c>
      <c r="J49">
        <f>Table1[[#This Row],[Final Salary]]+Table1[[#This Row],[Final Salary]]*10%</f>
        <v>87685.675000000003</v>
      </c>
    </row>
    <row r="50" spans="1:10" x14ac:dyDescent="0.3">
      <c r="A50">
        <v>49</v>
      </c>
      <c r="B50" t="s">
        <v>54</v>
      </c>
      <c r="C50" t="s">
        <v>109</v>
      </c>
      <c r="D50">
        <v>44551</v>
      </c>
      <c r="E50">
        <v>72941</v>
      </c>
      <c r="F50">
        <v>8</v>
      </c>
      <c r="G50">
        <f t="shared" si="0"/>
        <v>2188.23</v>
      </c>
      <c r="H50">
        <f t="shared" si="1"/>
        <v>1458.82</v>
      </c>
      <c r="I50">
        <f t="shared" si="2"/>
        <v>73670.409999999989</v>
      </c>
      <c r="J50">
        <f>Table1[[#This Row],[Final Salary]]+Table1[[#This Row],[Final Salary]]*10%</f>
        <v>81037.450999999986</v>
      </c>
    </row>
    <row r="51" spans="1:10" x14ac:dyDescent="0.3">
      <c r="A51">
        <v>50</v>
      </c>
      <c r="B51" t="s">
        <v>55</v>
      </c>
      <c r="C51" t="s">
        <v>106</v>
      </c>
      <c r="D51">
        <v>44566</v>
      </c>
      <c r="E51">
        <v>51834</v>
      </c>
      <c r="F51">
        <v>1</v>
      </c>
      <c r="G51">
        <f t="shared" si="0"/>
        <v>1555.02</v>
      </c>
      <c r="H51">
        <f t="shared" si="1"/>
        <v>1036.68</v>
      </c>
      <c r="I51">
        <f t="shared" si="2"/>
        <v>52352.34</v>
      </c>
      <c r="J51">
        <f>Table1[[#This Row],[Final Salary]]+Table1[[#This Row],[Final Salary]]*10%</f>
        <v>57587.573999999993</v>
      </c>
    </row>
    <row r="52" spans="1:10" x14ac:dyDescent="0.3">
      <c r="A52">
        <v>51</v>
      </c>
      <c r="B52" t="s">
        <v>56</v>
      </c>
      <c r="C52" t="s">
        <v>106</v>
      </c>
      <c r="D52">
        <v>44581</v>
      </c>
      <c r="E52">
        <v>48047</v>
      </c>
      <c r="F52">
        <v>8</v>
      </c>
      <c r="G52">
        <f t="shared" si="0"/>
        <v>1441.41</v>
      </c>
      <c r="H52">
        <f t="shared" si="1"/>
        <v>960.94</v>
      </c>
      <c r="I52">
        <f t="shared" si="2"/>
        <v>48527.47</v>
      </c>
      <c r="J52">
        <f>Table1[[#This Row],[Final Salary]]+Table1[[#This Row],[Final Salary]]*10%</f>
        <v>53380.217000000004</v>
      </c>
    </row>
    <row r="53" spans="1:10" x14ac:dyDescent="0.3">
      <c r="A53">
        <v>52</v>
      </c>
      <c r="B53" t="s">
        <v>57</v>
      </c>
      <c r="C53" t="s">
        <v>106</v>
      </c>
      <c r="D53">
        <v>44596</v>
      </c>
      <c r="E53">
        <v>56105</v>
      </c>
      <c r="F53">
        <v>4</v>
      </c>
      <c r="G53">
        <f t="shared" si="0"/>
        <v>1683.15</v>
      </c>
      <c r="H53">
        <f t="shared" si="1"/>
        <v>1122.0999999999999</v>
      </c>
      <c r="I53">
        <f t="shared" si="2"/>
        <v>56666.05</v>
      </c>
      <c r="J53">
        <f>Table1[[#This Row],[Final Salary]]+Table1[[#This Row],[Final Salary]]*10%</f>
        <v>62332.655000000006</v>
      </c>
    </row>
    <row r="54" spans="1:10" x14ac:dyDescent="0.3">
      <c r="A54">
        <v>53</v>
      </c>
      <c r="B54" t="s">
        <v>58</v>
      </c>
      <c r="C54" t="s">
        <v>106</v>
      </c>
      <c r="D54">
        <v>44611</v>
      </c>
      <c r="E54">
        <v>105766</v>
      </c>
      <c r="F54">
        <v>1</v>
      </c>
      <c r="G54">
        <f t="shared" si="0"/>
        <v>3172.98</v>
      </c>
      <c r="H54">
        <f t="shared" si="1"/>
        <v>2115.3200000000002</v>
      </c>
      <c r="I54">
        <f t="shared" si="2"/>
        <v>106823.65999999999</v>
      </c>
      <c r="J54">
        <f>Table1[[#This Row],[Final Salary]]+Table1[[#This Row],[Final Salary]]*10%</f>
        <v>117506.02599999998</v>
      </c>
    </row>
    <row r="55" spans="1:10" x14ac:dyDescent="0.3">
      <c r="A55">
        <v>54</v>
      </c>
      <c r="B55" t="s">
        <v>59</v>
      </c>
      <c r="C55" t="s">
        <v>107</v>
      </c>
      <c r="D55">
        <v>44626</v>
      </c>
      <c r="E55">
        <v>45707</v>
      </c>
      <c r="F55">
        <v>8</v>
      </c>
      <c r="G55">
        <f t="shared" si="0"/>
        <v>1371.21</v>
      </c>
      <c r="H55">
        <f t="shared" si="1"/>
        <v>914.14</v>
      </c>
      <c r="I55">
        <f t="shared" si="2"/>
        <v>46164.07</v>
      </c>
      <c r="J55">
        <f>Table1[[#This Row],[Final Salary]]+Table1[[#This Row],[Final Salary]]*10%</f>
        <v>50780.476999999999</v>
      </c>
    </row>
    <row r="56" spans="1:10" x14ac:dyDescent="0.3">
      <c r="A56">
        <v>55</v>
      </c>
      <c r="B56" t="s">
        <v>60</v>
      </c>
      <c r="C56" t="s">
        <v>108</v>
      </c>
      <c r="D56">
        <v>44641</v>
      </c>
      <c r="E56">
        <v>51976</v>
      </c>
      <c r="F56">
        <v>4</v>
      </c>
      <c r="G56">
        <f t="shared" si="0"/>
        <v>1559.28</v>
      </c>
      <c r="H56">
        <f t="shared" si="1"/>
        <v>1039.52</v>
      </c>
      <c r="I56">
        <f t="shared" si="2"/>
        <v>52495.76</v>
      </c>
      <c r="J56">
        <f>Table1[[#This Row],[Final Salary]]+Table1[[#This Row],[Final Salary]]*10%</f>
        <v>57745.336000000003</v>
      </c>
    </row>
    <row r="57" spans="1:10" x14ac:dyDescent="0.3">
      <c r="A57">
        <v>56</v>
      </c>
      <c r="B57" t="s">
        <v>61</v>
      </c>
      <c r="C57" t="s">
        <v>110</v>
      </c>
      <c r="D57">
        <v>44656</v>
      </c>
      <c r="E57">
        <v>74262</v>
      </c>
      <c r="F57">
        <v>6</v>
      </c>
      <c r="G57">
        <f t="shared" si="0"/>
        <v>2227.86</v>
      </c>
      <c r="H57">
        <f t="shared" si="1"/>
        <v>1485.24</v>
      </c>
      <c r="I57">
        <f t="shared" si="2"/>
        <v>75004.62</v>
      </c>
      <c r="J57">
        <f>Table1[[#This Row],[Final Salary]]+Table1[[#This Row],[Final Salary]]*10%</f>
        <v>82505.081999999995</v>
      </c>
    </row>
    <row r="58" spans="1:10" x14ac:dyDescent="0.3">
      <c r="A58">
        <v>57</v>
      </c>
      <c r="B58" t="s">
        <v>62</v>
      </c>
      <c r="C58" t="s">
        <v>106</v>
      </c>
      <c r="D58">
        <v>44671</v>
      </c>
      <c r="E58">
        <v>53776</v>
      </c>
      <c r="F58">
        <v>8</v>
      </c>
      <c r="G58">
        <f t="shared" si="0"/>
        <v>1613.28</v>
      </c>
      <c r="H58">
        <f t="shared" si="1"/>
        <v>1075.52</v>
      </c>
      <c r="I58">
        <f t="shared" si="2"/>
        <v>54313.760000000002</v>
      </c>
      <c r="J58">
        <f>Table1[[#This Row],[Final Salary]]+Table1[[#This Row],[Final Salary]]*10%</f>
        <v>59745.135999999999</v>
      </c>
    </row>
    <row r="59" spans="1:10" x14ac:dyDescent="0.3">
      <c r="A59">
        <v>58</v>
      </c>
      <c r="B59" t="s">
        <v>63</v>
      </c>
      <c r="C59" t="s">
        <v>109</v>
      </c>
      <c r="D59">
        <v>44686</v>
      </c>
      <c r="E59">
        <v>60080</v>
      </c>
      <c r="F59">
        <v>4</v>
      </c>
      <c r="G59">
        <f t="shared" si="0"/>
        <v>1802.4</v>
      </c>
      <c r="H59">
        <f t="shared" si="1"/>
        <v>1201.5999999999999</v>
      </c>
      <c r="I59">
        <f t="shared" si="2"/>
        <v>60680.800000000003</v>
      </c>
      <c r="J59">
        <f>Table1[[#This Row],[Final Salary]]+Table1[[#This Row],[Final Salary]]*10%</f>
        <v>66748.88</v>
      </c>
    </row>
    <row r="60" spans="1:10" x14ac:dyDescent="0.3">
      <c r="A60">
        <v>59</v>
      </c>
      <c r="B60" t="s">
        <v>64</v>
      </c>
      <c r="C60" t="s">
        <v>106</v>
      </c>
      <c r="D60">
        <v>44701</v>
      </c>
      <c r="E60">
        <v>96842</v>
      </c>
      <c r="F60">
        <v>3</v>
      </c>
      <c r="G60">
        <f t="shared" si="0"/>
        <v>2905.26</v>
      </c>
      <c r="H60">
        <f t="shared" si="1"/>
        <v>1936.84</v>
      </c>
      <c r="I60">
        <f t="shared" si="2"/>
        <v>97810.42</v>
      </c>
      <c r="J60">
        <f>Table1[[#This Row],[Final Salary]]+Table1[[#This Row],[Final Salary]]*10%</f>
        <v>107591.462</v>
      </c>
    </row>
    <row r="61" spans="1:10" x14ac:dyDescent="0.3">
      <c r="A61">
        <v>60</v>
      </c>
      <c r="B61" t="s">
        <v>65</v>
      </c>
      <c r="C61" t="s">
        <v>109</v>
      </c>
      <c r="D61">
        <v>44716</v>
      </c>
      <c r="E61">
        <v>91373</v>
      </c>
      <c r="F61">
        <v>9</v>
      </c>
      <c r="G61">
        <f t="shared" si="0"/>
        <v>2741.19</v>
      </c>
      <c r="H61">
        <f t="shared" si="1"/>
        <v>1827.46</v>
      </c>
      <c r="I61">
        <f t="shared" si="2"/>
        <v>92286.73</v>
      </c>
      <c r="J61">
        <f>Table1[[#This Row],[Final Salary]]+Table1[[#This Row],[Final Salary]]*10%</f>
        <v>101515.40299999999</v>
      </c>
    </row>
    <row r="62" spans="1:10" x14ac:dyDescent="0.3">
      <c r="A62">
        <v>61</v>
      </c>
      <c r="B62" t="s">
        <v>66</v>
      </c>
      <c r="C62" t="s">
        <v>109</v>
      </c>
      <c r="D62">
        <v>44731</v>
      </c>
      <c r="E62">
        <v>36776</v>
      </c>
      <c r="F62">
        <v>3</v>
      </c>
      <c r="G62">
        <f t="shared" si="0"/>
        <v>1103.28</v>
      </c>
      <c r="H62">
        <f t="shared" si="1"/>
        <v>735.52</v>
      </c>
      <c r="I62">
        <f t="shared" si="2"/>
        <v>37143.760000000002</v>
      </c>
      <c r="J62">
        <f>Table1[[#This Row],[Final Salary]]+Table1[[#This Row],[Final Salary]]*10%</f>
        <v>40858.135999999999</v>
      </c>
    </row>
    <row r="63" spans="1:10" x14ac:dyDescent="0.3">
      <c r="A63">
        <v>62</v>
      </c>
      <c r="B63" t="s">
        <v>67</v>
      </c>
      <c r="C63" t="s">
        <v>106</v>
      </c>
      <c r="D63">
        <v>44746</v>
      </c>
      <c r="E63">
        <v>85016</v>
      </c>
      <c r="F63">
        <v>9</v>
      </c>
      <c r="G63">
        <f t="shared" si="0"/>
        <v>2550.48</v>
      </c>
      <c r="H63">
        <f t="shared" si="1"/>
        <v>1700.32</v>
      </c>
      <c r="I63">
        <f t="shared" si="2"/>
        <v>85866.159999999989</v>
      </c>
      <c r="J63">
        <f>Table1[[#This Row],[Final Salary]]+Table1[[#This Row],[Final Salary]]*10%</f>
        <v>94452.775999999983</v>
      </c>
    </row>
    <row r="64" spans="1:10" x14ac:dyDescent="0.3">
      <c r="A64">
        <v>63</v>
      </c>
      <c r="B64" t="s">
        <v>68</v>
      </c>
      <c r="C64" t="s">
        <v>107</v>
      </c>
      <c r="D64">
        <v>44761</v>
      </c>
      <c r="E64">
        <v>39474</v>
      </c>
      <c r="F64">
        <v>2</v>
      </c>
      <c r="G64">
        <f t="shared" si="0"/>
        <v>1184.22</v>
      </c>
      <c r="H64">
        <f t="shared" si="1"/>
        <v>789.48</v>
      </c>
      <c r="I64">
        <f t="shared" si="2"/>
        <v>39868.74</v>
      </c>
      <c r="J64">
        <f>Table1[[#This Row],[Final Salary]]+Table1[[#This Row],[Final Salary]]*10%</f>
        <v>43855.614000000001</v>
      </c>
    </row>
    <row r="65" spans="1:10" x14ac:dyDescent="0.3">
      <c r="A65">
        <v>64</v>
      </c>
      <c r="B65" t="s">
        <v>69</v>
      </c>
      <c r="C65" t="s">
        <v>109</v>
      </c>
      <c r="D65">
        <v>44776</v>
      </c>
      <c r="E65">
        <v>88053</v>
      </c>
      <c r="F65">
        <v>2</v>
      </c>
      <c r="G65">
        <f t="shared" si="0"/>
        <v>2641.59</v>
      </c>
      <c r="H65">
        <f t="shared" si="1"/>
        <v>1761.06</v>
      </c>
      <c r="I65">
        <f t="shared" si="2"/>
        <v>88933.53</v>
      </c>
      <c r="J65">
        <f>Table1[[#This Row],[Final Salary]]+Table1[[#This Row],[Final Salary]]*10%</f>
        <v>97826.883000000002</v>
      </c>
    </row>
    <row r="66" spans="1:10" x14ac:dyDescent="0.3">
      <c r="A66">
        <v>65</v>
      </c>
      <c r="B66" t="s">
        <v>70</v>
      </c>
      <c r="C66" t="s">
        <v>109</v>
      </c>
      <c r="D66">
        <v>44791</v>
      </c>
      <c r="E66">
        <v>51959</v>
      </c>
      <c r="F66">
        <v>2</v>
      </c>
      <c r="G66">
        <f t="shared" si="0"/>
        <v>1558.77</v>
      </c>
      <c r="H66">
        <f t="shared" si="1"/>
        <v>1039.18</v>
      </c>
      <c r="I66">
        <f t="shared" si="2"/>
        <v>52478.59</v>
      </c>
      <c r="J66">
        <f>Table1[[#This Row],[Final Salary]]+Table1[[#This Row],[Final Salary]]*10%</f>
        <v>57726.448999999993</v>
      </c>
    </row>
    <row r="67" spans="1:10" x14ac:dyDescent="0.3">
      <c r="A67">
        <v>66</v>
      </c>
      <c r="B67" t="s">
        <v>71</v>
      </c>
      <c r="C67" t="s">
        <v>106</v>
      </c>
      <c r="D67">
        <v>44806</v>
      </c>
      <c r="E67">
        <v>35530</v>
      </c>
      <c r="F67">
        <v>6</v>
      </c>
      <c r="G67">
        <f t="shared" ref="G67:G101" si="3">E67*3/100</f>
        <v>1065.9000000000001</v>
      </c>
      <c r="H67">
        <f t="shared" ref="H67:H101" si="4">E67*2/100</f>
        <v>710.6</v>
      </c>
      <c r="I67">
        <f t="shared" ref="I67:I101" si="5">E67+G67-H67</f>
        <v>35885.300000000003</v>
      </c>
      <c r="J67">
        <f>Table1[[#This Row],[Final Salary]]+Table1[[#This Row],[Final Salary]]*10%</f>
        <v>39473.83</v>
      </c>
    </row>
    <row r="68" spans="1:10" x14ac:dyDescent="0.3">
      <c r="A68">
        <v>67</v>
      </c>
      <c r="B68" t="s">
        <v>72</v>
      </c>
      <c r="C68" t="s">
        <v>109</v>
      </c>
      <c r="D68">
        <v>44821</v>
      </c>
      <c r="E68">
        <v>33748</v>
      </c>
      <c r="F68">
        <v>3</v>
      </c>
      <c r="G68">
        <f t="shared" si="3"/>
        <v>1012.44</v>
      </c>
      <c r="H68">
        <f t="shared" si="4"/>
        <v>674.96</v>
      </c>
      <c r="I68">
        <f t="shared" si="5"/>
        <v>34085.480000000003</v>
      </c>
      <c r="J68">
        <f>Table1[[#This Row],[Final Salary]]+Table1[[#This Row],[Final Salary]]*10%</f>
        <v>37494.028000000006</v>
      </c>
    </row>
    <row r="69" spans="1:10" x14ac:dyDescent="0.3">
      <c r="A69">
        <v>68</v>
      </c>
      <c r="B69" t="s">
        <v>73</v>
      </c>
      <c r="C69" t="s">
        <v>109</v>
      </c>
      <c r="D69">
        <v>44836</v>
      </c>
      <c r="E69">
        <v>43545</v>
      </c>
      <c r="F69">
        <v>9</v>
      </c>
      <c r="G69">
        <f t="shared" si="3"/>
        <v>1306.3499999999999</v>
      </c>
      <c r="H69">
        <f t="shared" si="4"/>
        <v>870.9</v>
      </c>
      <c r="I69">
        <f t="shared" si="5"/>
        <v>43980.45</v>
      </c>
      <c r="J69">
        <f>Table1[[#This Row],[Final Salary]]+Table1[[#This Row],[Final Salary]]*10%</f>
        <v>48378.494999999995</v>
      </c>
    </row>
    <row r="70" spans="1:10" x14ac:dyDescent="0.3">
      <c r="A70">
        <v>69</v>
      </c>
      <c r="B70" t="s">
        <v>74</v>
      </c>
      <c r="C70" t="s">
        <v>106</v>
      </c>
      <c r="D70">
        <v>44851</v>
      </c>
      <c r="E70">
        <v>96199</v>
      </c>
      <c r="F70">
        <v>4</v>
      </c>
      <c r="G70">
        <f t="shared" si="3"/>
        <v>2885.97</v>
      </c>
      <c r="H70">
        <f t="shared" si="4"/>
        <v>1923.98</v>
      </c>
      <c r="I70">
        <f t="shared" si="5"/>
        <v>97160.99</v>
      </c>
      <c r="J70">
        <f>Table1[[#This Row],[Final Salary]]+Table1[[#This Row],[Final Salary]]*10%</f>
        <v>106877.08900000001</v>
      </c>
    </row>
    <row r="71" spans="1:10" x14ac:dyDescent="0.3">
      <c r="A71">
        <v>70</v>
      </c>
      <c r="B71" t="s">
        <v>75</v>
      </c>
      <c r="C71" t="s">
        <v>106</v>
      </c>
      <c r="D71">
        <v>44866</v>
      </c>
      <c r="E71">
        <v>64766</v>
      </c>
      <c r="F71">
        <v>1</v>
      </c>
      <c r="G71">
        <f t="shared" si="3"/>
        <v>1942.98</v>
      </c>
      <c r="H71">
        <f t="shared" si="4"/>
        <v>1295.32</v>
      </c>
      <c r="I71">
        <f t="shared" si="5"/>
        <v>65413.659999999996</v>
      </c>
      <c r="J71">
        <f>Table1[[#This Row],[Final Salary]]+Table1[[#This Row],[Final Salary]]*10%</f>
        <v>71955.025999999998</v>
      </c>
    </row>
    <row r="72" spans="1:10" x14ac:dyDescent="0.3">
      <c r="A72">
        <v>71</v>
      </c>
      <c r="B72" t="s">
        <v>76</v>
      </c>
      <c r="C72" t="s">
        <v>110</v>
      </c>
      <c r="D72">
        <v>44881</v>
      </c>
      <c r="E72">
        <v>103530</v>
      </c>
      <c r="F72">
        <v>4</v>
      </c>
      <c r="G72">
        <f t="shared" si="3"/>
        <v>3105.9</v>
      </c>
      <c r="H72">
        <f t="shared" si="4"/>
        <v>2070.6</v>
      </c>
      <c r="I72">
        <f t="shared" si="5"/>
        <v>104565.29999999999</v>
      </c>
      <c r="J72">
        <f>Table1[[#This Row],[Final Salary]]+Table1[[#This Row],[Final Salary]]*10%</f>
        <v>115021.82999999999</v>
      </c>
    </row>
    <row r="73" spans="1:10" x14ac:dyDescent="0.3">
      <c r="A73">
        <v>72</v>
      </c>
      <c r="B73" t="s">
        <v>77</v>
      </c>
      <c r="C73" t="s">
        <v>107</v>
      </c>
      <c r="D73">
        <v>44896</v>
      </c>
      <c r="E73">
        <v>91087</v>
      </c>
      <c r="F73">
        <v>1</v>
      </c>
      <c r="G73">
        <f t="shared" si="3"/>
        <v>2732.61</v>
      </c>
      <c r="H73">
        <f t="shared" si="4"/>
        <v>1821.74</v>
      </c>
      <c r="I73">
        <f t="shared" si="5"/>
        <v>91997.87</v>
      </c>
      <c r="J73">
        <f>Table1[[#This Row],[Final Salary]]+Table1[[#This Row],[Final Salary]]*10%</f>
        <v>101197.65699999999</v>
      </c>
    </row>
    <row r="74" spans="1:10" x14ac:dyDescent="0.3">
      <c r="A74">
        <v>73</v>
      </c>
      <c r="B74" t="s">
        <v>78</v>
      </c>
      <c r="C74" t="s">
        <v>107</v>
      </c>
      <c r="D74">
        <v>44911</v>
      </c>
      <c r="E74">
        <v>98840</v>
      </c>
      <c r="F74">
        <v>5</v>
      </c>
      <c r="G74">
        <f t="shared" si="3"/>
        <v>2965.2</v>
      </c>
      <c r="H74">
        <f t="shared" si="4"/>
        <v>1976.8</v>
      </c>
      <c r="I74">
        <f t="shared" si="5"/>
        <v>99828.4</v>
      </c>
      <c r="J74">
        <f>Table1[[#This Row],[Final Salary]]+Table1[[#This Row],[Final Salary]]*10%</f>
        <v>109811.23999999999</v>
      </c>
    </row>
    <row r="75" spans="1:10" x14ac:dyDescent="0.3">
      <c r="A75">
        <v>74</v>
      </c>
      <c r="B75" t="s">
        <v>79</v>
      </c>
      <c r="C75" t="s">
        <v>109</v>
      </c>
      <c r="D75">
        <v>44926</v>
      </c>
      <c r="E75">
        <v>84384</v>
      </c>
      <c r="F75">
        <v>4</v>
      </c>
      <c r="G75">
        <f t="shared" si="3"/>
        <v>2531.52</v>
      </c>
      <c r="H75">
        <f t="shared" si="4"/>
        <v>1687.68</v>
      </c>
      <c r="I75">
        <f t="shared" si="5"/>
        <v>85227.840000000011</v>
      </c>
      <c r="J75">
        <f>Table1[[#This Row],[Final Salary]]+Table1[[#This Row],[Final Salary]]*10%</f>
        <v>93750.624000000011</v>
      </c>
    </row>
    <row r="76" spans="1:10" x14ac:dyDescent="0.3">
      <c r="A76">
        <v>75</v>
      </c>
      <c r="B76" t="s">
        <v>80</v>
      </c>
      <c r="C76" t="s">
        <v>107</v>
      </c>
      <c r="D76">
        <v>44941</v>
      </c>
      <c r="E76">
        <v>81005</v>
      </c>
      <c r="F76">
        <v>8</v>
      </c>
      <c r="G76">
        <f t="shared" si="3"/>
        <v>2430.15</v>
      </c>
      <c r="H76">
        <f t="shared" si="4"/>
        <v>1620.1</v>
      </c>
      <c r="I76">
        <f t="shared" si="5"/>
        <v>81815.049999999988</v>
      </c>
      <c r="J76">
        <f>Table1[[#This Row],[Final Salary]]+Table1[[#This Row],[Final Salary]]*10%</f>
        <v>89996.554999999993</v>
      </c>
    </row>
    <row r="77" spans="1:10" x14ac:dyDescent="0.3">
      <c r="A77">
        <v>76</v>
      </c>
      <c r="B77" t="s">
        <v>81</v>
      </c>
      <c r="C77" t="s">
        <v>109</v>
      </c>
      <c r="D77">
        <v>44956</v>
      </c>
      <c r="E77">
        <v>76576</v>
      </c>
      <c r="F77">
        <v>8</v>
      </c>
      <c r="G77">
        <f t="shared" si="3"/>
        <v>2297.2800000000002</v>
      </c>
      <c r="H77">
        <f t="shared" si="4"/>
        <v>1531.52</v>
      </c>
      <c r="I77">
        <f t="shared" si="5"/>
        <v>77341.759999999995</v>
      </c>
      <c r="J77">
        <f>Table1[[#This Row],[Final Salary]]+Table1[[#This Row],[Final Salary]]*10%</f>
        <v>85075.935999999987</v>
      </c>
    </row>
    <row r="78" spans="1:10" x14ac:dyDescent="0.3">
      <c r="A78">
        <v>77</v>
      </c>
      <c r="B78" t="s">
        <v>82</v>
      </c>
      <c r="C78" t="s">
        <v>110</v>
      </c>
      <c r="D78">
        <v>44971</v>
      </c>
      <c r="E78">
        <v>69353</v>
      </c>
      <c r="F78">
        <v>7</v>
      </c>
      <c r="G78">
        <f t="shared" si="3"/>
        <v>2080.59</v>
      </c>
      <c r="H78">
        <f t="shared" si="4"/>
        <v>1387.06</v>
      </c>
      <c r="I78">
        <f t="shared" si="5"/>
        <v>70046.53</v>
      </c>
      <c r="J78">
        <f>Table1[[#This Row],[Final Salary]]+Table1[[#This Row],[Final Salary]]*10%</f>
        <v>77051.183000000005</v>
      </c>
    </row>
    <row r="79" spans="1:10" x14ac:dyDescent="0.3">
      <c r="A79">
        <v>78</v>
      </c>
      <c r="B79" t="s">
        <v>83</v>
      </c>
      <c r="C79" t="s">
        <v>106</v>
      </c>
      <c r="D79">
        <v>44986</v>
      </c>
      <c r="E79">
        <v>92003</v>
      </c>
      <c r="F79">
        <v>3</v>
      </c>
      <c r="G79">
        <f t="shared" si="3"/>
        <v>2760.09</v>
      </c>
      <c r="H79">
        <f t="shared" si="4"/>
        <v>1840.06</v>
      </c>
      <c r="I79">
        <f t="shared" si="5"/>
        <v>92923.03</v>
      </c>
      <c r="J79">
        <f>Table1[[#This Row],[Final Salary]]+Table1[[#This Row],[Final Salary]]*10%</f>
        <v>102215.333</v>
      </c>
    </row>
    <row r="80" spans="1:10" x14ac:dyDescent="0.3">
      <c r="A80">
        <v>79</v>
      </c>
      <c r="B80" t="s">
        <v>84</v>
      </c>
      <c r="C80" t="s">
        <v>106</v>
      </c>
      <c r="D80">
        <v>45001</v>
      </c>
      <c r="E80">
        <v>113211</v>
      </c>
      <c r="F80">
        <v>1</v>
      </c>
      <c r="G80">
        <f t="shared" si="3"/>
        <v>3396.33</v>
      </c>
      <c r="H80">
        <f t="shared" si="4"/>
        <v>2264.2199999999998</v>
      </c>
      <c r="I80">
        <f t="shared" si="5"/>
        <v>114343.11</v>
      </c>
      <c r="J80">
        <f>Table1[[#This Row],[Final Salary]]+Table1[[#This Row],[Final Salary]]*10%</f>
        <v>125777.421</v>
      </c>
    </row>
    <row r="81" spans="1:10" x14ac:dyDescent="0.3">
      <c r="A81">
        <v>80</v>
      </c>
      <c r="B81" t="s">
        <v>85</v>
      </c>
      <c r="C81" t="s">
        <v>106</v>
      </c>
      <c r="D81">
        <v>45016</v>
      </c>
      <c r="E81">
        <v>82733</v>
      </c>
      <c r="F81">
        <v>1</v>
      </c>
      <c r="G81">
        <f t="shared" si="3"/>
        <v>2481.9899999999998</v>
      </c>
      <c r="H81">
        <f t="shared" si="4"/>
        <v>1654.66</v>
      </c>
      <c r="I81">
        <f t="shared" si="5"/>
        <v>83560.33</v>
      </c>
      <c r="J81">
        <f>Table1[[#This Row],[Final Salary]]+Table1[[#This Row],[Final Salary]]*10%</f>
        <v>91916.362999999998</v>
      </c>
    </row>
    <row r="82" spans="1:10" x14ac:dyDescent="0.3">
      <c r="A82">
        <v>81</v>
      </c>
      <c r="B82" t="s">
        <v>86</v>
      </c>
      <c r="C82" t="s">
        <v>107</v>
      </c>
      <c r="D82">
        <v>45031</v>
      </c>
      <c r="E82">
        <v>95318</v>
      </c>
      <c r="F82">
        <v>3</v>
      </c>
      <c r="G82">
        <f t="shared" si="3"/>
        <v>2859.54</v>
      </c>
      <c r="H82">
        <f t="shared" si="4"/>
        <v>1906.36</v>
      </c>
      <c r="I82">
        <f t="shared" si="5"/>
        <v>96271.18</v>
      </c>
      <c r="J82">
        <f>Table1[[#This Row],[Final Salary]]+Table1[[#This Row],[Final Salary]]*10%</f>
        <v>105898.298</v>
      </c>
    </row>
    <row r="83" spans="1:10" x14ac:dyDescent="0.3">
      <c r="A83">
        <v>82</v>
      </c>
      <c r="B83" t="s">
        <v>87</v>
      </c>
      <c r="C83" t="s">
        <v>110</v>
      </c>
      <c r="D83">
        <v>45046</v>
      </c>
      <c r="E83">
        <v>119474</v>
      </c>
      <c r="F83">
        <v>6</v>
      </c>
      <c r="G83">
        <f t="shared" si="3"/>
        <v>3584.22</v>
      </c>
      <c r="H83">
        <f t="shared" si="4"/>
        <v>2389.48</v>
      </c>
      <c r="I83">
        <f t="shared" si="5"/>
        <v>120668.74</v>
      </c>
      <c r="J83">
        <f>Table1[[#This Row],[Final Salary]]+Table1[[#This Row],[Final Salary]]*10%</f>
        <v>132735.614</v>
      </c>
    </row>
    <row r="84" spans="1:10" x14ac:dyDescent="0.3">
      <c r="A84">
        <v>83</v>
      </c>
      <c r="B84" t="s">
        <v>88</v>
      </c>
      <c r="C84" t="s">
        <v>107</v>
      </c>
      <c r="D84">
        <v>45061</v>
      </c>
      <c r="E84">
        <v>53664</v>
      </c>
      <c r="F84">
        <v>7</v>
      </c>
      <c r="G84">
        <f t="shared" si="3"/>
        <v>1609.92</v>
      </c>
      <c r="H84">
        <f t="shared" si="4"/>
        <v>1073.28</v>
      </c>
      <c r="I84">
        <f t="shared" si="5"/>
        <v>54200.639999999999</v>
      </c>
      <c r="J84">
        <f>Table1[[#This Row],[Final Salary]]+Table1[[#This Row],[Final Salary]]*10%</f>
        <v>59620.703999999998</v>
      </c>
    </row>
    <row r="85" spans="1:10" x14ac:dyDescent="0.3">
      <c r="A85">
        <v>84</v>
      </c>
      <c r="B85" t="s">
        <v>89</v>
      </c>
      <c r="C85" t="s">
        <v>107</v>
      </c>
      <c r="D85">
        <v>45076</v>
      </c>
      <c r="E85">
        <v>97172</v>
      </c>
      <c r="F85">
        <v>6</v>
      </c>
      <c r="G85">
        <f t="shared" si="3"/>
        <v>2915.16</v>
      </c>
      <c r="H85">
        <f t="shared" si="4"/>
        <v>1943.44</v>
      </c>
      <c r="I85">
        <f t="shared" si="5"/>
        <v>98143.72</v>
      </c>
      <c r="J85">
        <f>Table1[[#This Row],[Final Salary]]+Table1[[#This Row],[Final Salary]]*10%</f>
        <v>107958.092</v>
      </c>
    </row>
    <row r="86" spans="1:10" x14ac:dyDescent="0.3">
      <c r="A86">
        <v>85</v>
      </c>
      <c r="B86" t="s">
        <v>90</v>
      </c>
      <c r="C86" t="s">
        <v>110</v>
      </c>
      <c r="D86">
        <v>45091</v>
      </c>
      <c r="E86">
        <v>115616</v>
      </c>
      <c r="F86">
        <v>6</v>
      </c>
      <c r="G86">
        <f t="shared" si="3"/>
        <v>3468.48</v>
      </c>
      <c r="H86">
        <f t="shared" si="4"/>
        <v>2312.3200000000002</v>
      </c>
      <c r="I86">
        <f t="shared" si="5"/>
        <v>116772.15999999999</v>
      </c>
      <c r="J86">
        <f>Table1[[#This Row],[Final Salary]]+Table1[[#This Row],[Final Salary]]*10%</f>
        <v>128449.37599999999</v>
      </c>
    </row>
    <row r="87" spans="1:10" x14ac:dyDescent="0.3">
      <c r="A87">
        <v>86</v>
      </c>
      <c r="B87" t="s">
        <v>91</v>
      </c>
      <c r="C87" t="s">
        <v>110</v>
      </c>
      <c r="D87">
        <v>45106</v>
      </c>
      <c r="E87">
        <v>56736</v>
      </c>
      <c r="F87">
        <v>6</v>
      </c>
      <c r="G87">
        <f t="shared" si="3"/>
        <v>1702.08</v>
      </c>
      <c r="H87">
        <f t="shared" si="4"/>
        <v>1134.72</v>
      </c>
      <c r="I87">
        <f t="shared" si="5"/>
        <v>57303.360000000001</v>
      </c>
      <c r="J87">
        <f>Table1[[#This Row],[Final Salary]]+Table1[[#This Row],[Final Salary]]*10%</f>
        <v>63033.696000000004</v>
      </c>
    </row>
    <row r="88" spans="1:10" x14ac:dyDescent="0.3">
      <c r="A88">
        <v>87</v>
      </c>
      <c r="B88" t="s">
        <v>92</v>
      </c>
      <c r="C88" t="s">
        <v>110</v>
      </c>
      <c r="D88">
        <v>45121</v>
      </c>
      <c r="E88">
        <v>30854</v>
      </c>
      <c r="F88">
        <v>3</v>
      </c>
      <c r="G88">
        <f t="shared" si="3"/>
        <v>925.62</v>
      </c>
      <c r="H88">
        <f t="shared" si="4"/>
        <v>617.08000000000004</v>
      </c>
      <c r="I88">
        <f t="shared" si="5"/>
        <v>31162.539999999997</v>
      </c>
      <c r="J88">
        <f>Table1[[#This Row],[Final Salary]]+Table1[[#This Row],[Final Salary]]*10%</f>
        <v>34278.793999999994</v>
      </c>
    </row>
    <row r="89" spans="1:10" x14ac:dyDescent="0.3">
      <c r="A89">
        <v>88</v>
      </c>
      <c r="B89" t="s">
        <v>93</v>
      </c>
      <c r="C89" t="s">
        <v>110</v>
      </c>
      <c r="D89">
        <v>45136</v>
      </c>
      <c r="E89">
        <v>68623</v>
      </c>
      <c r="F89">
        <v>6</v>
      </c>
      <c r="G89">
        <f t="shared" si="3"/>
        <v>2058.69</v>
      </c>
      <c r="H89">
        <f t="shared" si="4"/>
        <v>1372.46</v>
      </c>
      <c r="I89">
        <f t="shared" si="5"/>
        <v>69309.23</v>
      </c>
      <c r="J89">
        <f>Table1[[#This Row],[Final Salary]]+Table1[[#This Row],[Final Salary]]*10%</f>
        <v>76240.152999999991</v>
      </c>
    </row>
    <row r="90" spans="1:10" x14ac:dyDescent="0.3">
      <c r="A90">
        <v>89</v>
      </c>
      <c r="B90" t="s">
        <v>94</v>
      </c>
      <c r="C90" t="s">
        <v>106</v>
      </c>
      <c r="D90">
        <v>45151</v>
      </c>
      <c r="E90">
        <v>37392</v>
      </c>
      <c r="F90">
        <v>8</v>
      </c>
      <c r="G90">
        <f t="shared" si="3"/>
        <v>1121.76</v>
      </c>
      <c r="H90">
        <f t="shared" si="4"/>
        <v>747.84</v>
      </c>
      <c r="I90">
        <f t="shared" si="5"/>
        <v>37765.920000000006</v>
      </c>
      <c r="J90">
        <f>Table1[[#This Row],[Final Salary]]+Table1[[#This Row],[Final Salary]]*10%</f>
        <v>41542.512000000002</v>
      </c>
    </row>
    <row r="91" spans="1:10" x14ac:dyDescent="0.3">
      <c r="A91">
        <v>90</v>
      </c>
      <c r="B91" t="s">
        <v>95</v>
      </c>
      <c r="C91" t="s">
        <v>108</v>
      </c>
      <c r="D91">
        <v>45166</v>
      </c>
      <c r="E91">
        <v>85680</v>
      </c>
      <c r="F91">
        <v>2</v>
      </c>
      <c r="G91">
        <f t="shared" si="3"/>
        <v>2570.4</v>
      </c>
      <c r="H91">
        <f t="shared" si="4"/>
        <v>1713.6</v>
      </c>
      <c r="I91">
        <f t="shared" si="5"/>
        <v>86536.799999999988</v>
      </c>
      <c r="J91">
        <f>Table1[[#This Row],[Final Salary]]+Table1[[#This Row],[Final Salary]]*10%</f>
        <v>95190.479999999981</v>
      </c>
    </row>
    <row r="92" spans="1:10" x14ac:dyDescent="0.3">
      <c r="A92">
        <v>91</v>
      </c>
      <c r="B92" t="s">
        <v>96</v>
      </c>
      <c r="C92" t="s">
        <v>108</v>
      </c>
      <c r="D92">
        <v>45181</v>
      </c>
      <c r="E92">
        <v>76717</v>
      </c>
      <c r="F92">
        <v>5</v>
      </c>
      <c r="G92">
        <f t="shared" si="3"/>
        <v>2301.5100000000002</v>
      </c>
      <c r="H92">
        <f t="shared" si="4"/>
        <v>1534.34</v>
      </c>
      <c r="I92">
        <f t="shared" si="5"/>
        <v>77484.17</v>
      </c>
      <c r="J92">
        <f>Table1[[#This Row],[Final Salary]]+Table1[[#This Row],[Final Salary]]*10%</f>
        <v>85232.587</v>
      </c>
    </row>
    <row r="93" spans="1:10" x14ac:dyDescent="0.3">
      <c r="A93">
        <v>92</v>
      </c>
      <c r="B93" t="s">
        <v>97</v>
      </c>
      <c r="C93" t="s">
        <v>110</v>
      </c>
      <c r="D93">
        <v>45196</v>
      </c>
      <c r="E93">
        <v>117092</v>
      </c>
      <c r="F93">
        <v>1</v>
      </c>
      <c r="G93">
        <f t="shared" si="3"/>
        <v>3512.76</v>
      </c>
      <c r="H93">
        <f t="shared" si="4"/>
        <v>2341.84</v>
      </c>
      <c r="I93">
        <f t="shared" si="5"/>
        <v>118262.92</v>
      </c>
      <c r="J93">
        <f>Table1[[#This Row],[Final Salary]]+Table1[[#This Row],[Final Salary]]*10%</f>
        <v>130089.212</v>
      </c>
    </row>
    <row r="94" spans="1:10" x14ac:dyDescent="0.3">
      <c r="A94">
        <v>93</v>
      </c>
      <c r="B94" t="s">
        <v>98</v>
      </c>
      <c r="C94" t="s">
        <v>108</v>
      </c>
      <c r="D94">
        <v>45211</v>
      </c>
      <c r="E94">
        <v>80859</v>
      </c>
      <c r="F94">
        <v>1</v>
      </c>
      <c r="G94">
        <f t="shared" si="3"/>
        <v>2425.77</v>
      </c>
      <c r="H94">
        <f t="shared" si="4"/>
        <v>1617.18</v>
      </c>
      <c r="I94">
        <f t="shared" si="5"/>
        <v>81667.590000000011</v>
      </c>
      <c r="J94">
        <f>Table1[[#This Row],[Final Salary]]+Table1[[#This Row],[Final Salary]]*10%</f>
        <v>89834.349000000017</v>
      </c>
    </row>
    <row r="95" spans="1:10" x14ac:dyDescent="0.3">
      <c r="A95">
        <v>94</v>
      </c>
      <c r="B95" t="s">
        <v>99</v>
      </c>
      <c r="C95" t="s">
        <v>108</v>
      </c>
      <c r="D95">
        <v>45226</v>
      </c>
      <c r="E95">
        <v>56309</v>
      </c>
      <c r="F95">
        <v>5</v>
      </c>
      <c r="G95">
        <f t="shared" si="3"/>
        <v>1689.27</v>
      </c>
      <c r="H95">
        <f t="shared" si="4"/>
        <v>1126.18</v>
      </c>
      <c r="I95">
        <f t="shared" si="5"/>
        <v>56872.09</v>
      </c>
      <c r="J95">
        <f>Table1[[#This Row],[Final Salary]]+Table1[[#This Row],[Final Salary]]*10%</f>
        <v>62559.298999999999</v>
      </c>
    </row>
    <row r="96" spans="1:10" x14ac:dyDescent="0.3">
      <c r="A96">
        <v>95</v>
      </c>
      <c r="B96" t="s">
        <v>100</v>
      </c>
      <c r="C96" t="s">
        <v>110</v>
      </c>
      <c r="D96">
        <v>45241</v>
      </c>
      <c r="E96">
        <v>117455</v>
      </c>
      <c r="F96">
        <v>3</v>
      </c>
      <c r="G96">
        <f t="shared" si="3"/>
        <v>3523.65</v>
      </c>
      <c r="H96">
        <f t="shared" si="4"/>
        <v>2349.1</v>
      </c>
      <c r="I96">
        <f t="shared" si="5"/>
        <v>118629.54999999999</v>
      </c>
      <c r="J96">
        <f>Table1[[#This Row],[Final Salary]]+Table1[[#This Row],[Final Salary]]*10%</f>
        <v>130492.50499999999</v>
      </c>
    </row>
    <row r="97" spans="1:10" x14ac:dyDescent="0.3">
      <c r="A97">
        <v>96</v>
      </c>
      <c r="B97" t="s">
        <v>101</v>
      </c>
      <c r="C97" t="s">
        <v>108</v>
      </c>
      <c r="D97">
        <v>45256</v>
      </c>
      <c r="E97">
        <v>93734</v>
      </c>
      <c r="F97">
        <v>4</v>
      </c>
      <c r="G97">
        <f t="shared" si="3"/>
        <v>2812.02</v>
      </c>
      <c r="H97">
        <f t="shared" si="4"/>
        <v>1874.68</v>
      </c>
      <c r="I97">
        <f t="shared" si="5"/>
        <v>94671.340000000011</v>
      </c>
      <c r="J97">
        <f>Table1[[#This Row],[Final Salary]]+Table1[[#This Row],[Final Salary]]*10%</f>
        <v>104138.47400000002</v>
      </c>
    </row>
    <row r="98" spans="1:10" x14ac:dyDescent="0.3">
      <c r="A98">
        <v>97</v>
      </c>
      <c r="B98" t="s">
        <v>102</v>
      </c>
      <c r="C98" t="s">
        <v>107</v>
      </c>
      <c r="D98">
        <v>45271</v>
      </c>
      <c r="E98">
        <v>100467</v>
      </c>
      <c r="F98">
        <v>3</v>
      </c>
      <c r="G98">
        <f t="shared" si="3"/>
        <v>3014.01</v>
      </c>
      <c r="H98">
        <f t="shared" si="4"/>
        <v>2009.34</v>
      </c>
      <c r="I98">
        <f t="shared" si="5"/>
        <v>101471.67</v>
      </c>
      <c r="J98">
        <f>Table1[[#This Row],[Final Salary]]+Table1[[#This Row],[Final Salary]]*10%</f>
        <v>111618.837</v>
      </c>
    </row>
    <row r="99" spans="1:10" x14ac:dyDescent="0.3">
      <c r="A99">
        <v>98</v>
      </c>
      <c r="B99" t="s">
        <v>103</v>
      </c>
      <c r="C99" t="s">
        <v>109</v>
      </c>
      <c r="D99">
        <v>45286</v>
      </c>
      <c r="E99">
        <v>82662</v>
      </c>
      <c r="F99">
        <v>1</v>
      </c>
      <c r="G99">
        <f t="shared" si="3"/>
        <v>2479.86</v>
      </c>
      <c r="H99">
        <f t="shared" si="4"/>
        <v>1653.24</v>
      </c>
      <c r="I99">
        <f t="shared" si="5"/>
        <v>83488.62</v>
      </c>
      <c r="J99">
        <f>Table1[[#This Row],[Final Salary]]+Table1[[#This Row],[Final Salary]]*10%</f>
        <v>91837.481999999989</v>
      </c>
    </row>
    <row r="100" spans="1:10" x14ac:dyDescent="0.3">
      <c r="A100">
        <v>99</v>
      </c>
      <c r="B100" t="s">
        <v>104</v>
      </c>
      <c r="C100" t="s">
        <v>109</v>
      </c>
      <c r="D100">
        <v>45301</v>
      </c>
      <c r="E100">
        <v>42688</v>
      </c>
      <c r="F100">
        <v>1</v>
      </c>
      <c r="G100">
        <f t="shared" si="3"/>
        <v>1280.6400000000001</v>
      </c>
      <c r="H100">
        <f t="shared" si="4"/>
        <v>853.76</v>
      </c>
      <c r="I100">
        <f t="shared" si="5"/>
        <v>43114.879999999997</v>
      </c>
      <c r="J100">
        <f>Table1[[#This Row],[Final Salary]]+Table1[[#This Row],[Final Salary]]*10%</f>
        <v>47426.367999999995</v>
      </c>
    </row>
    <row r="101" spans="1:10" x14ac:dyDescent="0.3">
      <c r="A101">
        <v>100</v>
      </c>
      <c r="B101" t="s">
        <v>105</v>
      </c>
      <c r="C101" t="s">
        <v>110</v>
      </c>
      <c r="D101">
        <v>45316</v>
      </c>
      <c r="E101">
        <v>55342</v>
      </c>
      <c r="F101">
        <v>5</v>
      </c>
      <c r="G101">
        <f t="shared" si="3"/>
        <v>1660.26</v>
      </c>
      <c r="H101">
        <f t="shared" si="4"/>
        <v>1106.8399999999999</v>
      </c>
      <c r="I101">
        <f t="shared" si="5"/>
        <v>55895.420000000006</v>
      </c>
      <c r="J101">
        <f>Table1[[#This Row],[Final Salary]]+Table1[[#This Row],[Final Salary]]*10%</f>
        <v>61484.962000000007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 Ahmed</cp:lastModifiedBy>
  <dcterms:created xsi:type="dcterms:W3CDTF">2025-09-09T13:54:32Z</dcterms:created>
  <dcterms:modified xsi:type="dcterms:W3CDTF">2026-02-04T16:44:08Z</dcterms:modified>
</cp:coreProperties>
</file>