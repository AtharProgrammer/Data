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gFramework\Excel\Session3\"/>
    </mc:Choice>
  </mc:AlternateContent>
  <xr:revisionPtr revIDLastSave="0" documentId="13_ncr:1_{F7901A53-905E-4FB1-AA39-0BC13E526F46}" xr6:coauthVersionLast="47" xr6:coauthVersionMax="47" xr10:uidLastSave="{00000000-0000-0000-0000-000000000000}"/>
  <bookViews>
    <workbookView xWindow="-108" yWindow="-108" windowWidth="23256" windowHeight="12456" firstSheet="1" activeTab="6" xr2:uid="{1A99C143-F738-445E-BF96-9111A46CF0A5}"/>
  </bookViews>
  <sheets>
    <sheet name="Rank" sheetId="1" r:id="rId1"/>
    <sheet name="Vlookup" sheetId="2" r:id="rId2"/>
    <sheet name="Hlook" sheetId="3" r:id="rId3"/>
    <sheet name="xlookup" sheetId="4" r:id="rId4"/>
    <sheet name="Data" sheetId="7" r:id="rId5"/>
    <sheet name="Data View" sheetId="8" r:id="rId6"/>
    <sheet name="Nested Vlookup" sheetId="9" r:id="rId7"/>
    <sheet name="Salary Sheet" sheetId="10" r:id="rId8"/>
    <sheet name="Employee Sheet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2" i="8"/>
  <c r="C11" i="3"/>
  <c r="C10" i="3"/>
  <c r="B9" i="4"/>
  <c r="B8" i="4"/>
  <c r="B16" i="2"/>
  <c r="B11" i="2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<sst xmlns="http://schemas.openxmlformats.org/spreadsheetml/2006/main" count="203" uniqueCount="127">
  <si>
    <t>ID</t>
  </si>
  <si>
    <t>Name</t>
  </si>
  <si>
    <t>Score</t>
  </si>
  <si>
    <t>Alice</t>
  </si>
  <si>
    <t>Bob</t>
  </si>
  <si>
    <t>Charlie</t>
  </si>
  <si>
    <t>David</t>
  </si>
  <si>
    <t>Eva</t>
  </si>
  <si>
    <t>Frank</t>
  </si>
  <si>
    <t>Find the Score for BOB</t>
  </si>
  <si>
    <t>OrderID</t>
  </si>
  <si>
    <t>UnitPrice</t>
  </si>
  <si>
    <t>Quantity</t>
  </si>
  <si>
    <t>Rank</t>
  </si>
  <si>
    <t>Laptop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</si>
  <si>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</si>
  <si>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</si>
  <si>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</si>
  <si>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</si>
  <si>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</si>
  <si>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</si>
  <si>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</si>
  <si>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</si>
  <si>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</si>
  <si>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P102</t>
  </si>
  <si>
    <t>Ethernet Cable</t>
  </si>
  <si>
    <t>P103</t>
  </si>
  <si>
    <t>P104</t>
  </si>
  <si>
    <t>Keyboard</t>
  </si>
  <si>
    <t>P105</t>
  </si>
  <si>
    <t>Router</t>
  </si>
  <si>
    <t>P106</t>
  </si>
  <si>
    <t>USB Flash Drive</t>
  </si>
  <si>
    <t>P107</t>
  </si>
  <si>
    <t>RAM</t>
  </si>
  <si>
    <t>P108</t>
  </si>
  <si>
    <t>HDD</t>
  </si>
  <si>
    <t>P109</t>
  </si>
  <si>
    <t>Mouse Pad</t>
  </si>
  <si>
    <t>P110</t>
  </si>
  <si>
    <t>USB-C Cable</t>
  </si>
  <si>
    <t>P111</t>
  </si>
  <si>
    <t>Monitor</t>
  </si>
  <si>
    <t>P112</t>
  </si>
  <si>
    <t>Headphones</t>
  </si>
  <si>
    <t>P113</t>
  </si>
  <si>
    <t>Tablet</t>
  </si>
  <si>
    <t>P114</t>
  </si>
  <si>
    <t>External Hard Drive</t>
  </si>
  <si>
    <t>P115</t>
  </si>
  <si>
    <t>Wireless Earbuds</t>
  </si>
  <si>
    <t>P116</t>
  </si>
  <si>
    <t>Webcam</t>
  </si>
  <si>
    <t>P117</t>
  </si>
  <si>
    <t>Desk Chair</t>
  </si>
  <si>
    <t>P118</t>
  </si>
  <si>
    <t>Desk Lamp</t>
  </si>
  <si>
    <t>P119</t>
  </si>
  <si>
    <t>Power Strip</t>
  </si>
  <si>
    <t>P120</t>
  </si>
  <si>
    <t>Wireless Mouse</t>
  </si>
  <si>
    <t>P121</t>
  </si>
  <si>
    <t>Gaming Keyboard</t>
  </si>
  <si>
    <t>P122</t>
  </si>
  <si>
    <t>Gaming Mouse</t>
  </si>
  <si>
    <t>P123</t>
  </si>
  <si>
    <t>Gaming Headset</t>
  </si>
  <si>
    <t>P124</t>
  </si>
  <si>
    <t>Gaming Chair</t>
  </si>
  <si>
    <t>P125</t>
  </si>
  <si>
    <t>Gaming Monitor</t>
  </si>
  <si>
    <t>P126</t>
  </si>
  <si>
    <t>Graphics Card</t>
  </si>
  <si>
    <t>P127</t>
  </si>
  <si>
    <t>CPU</t>
  </si>
  <si>
    <t>P128</t>
  </si>
  <si>
    <t>Motherboard</t>
  </si>
  <si>
    <t>P129</t>
  </si>
  <si>
    <t>SSD</t>
  </si>
  <si>
    <t>P130</t>
  </si>
  <si>
    <t>Power Supply</t>
  </si>
  <si>
    <t>P131</t>
  </si>
  <si>
    <t>PC Case</t>
  </si>
  <si>
    <t>P132</t>
  </si>
  <si>
    <t>CPU Cooler</t>
  </si>
  <si>
    <t>P133</t>
  </si>
  <si>
    <t>Monitor Stand</t>
  </si>
  <si>
    <t>P134</t>
  </si>
  <si>
    <t>Thermal Paste</t>
  </si>
  <si>
    <t>P135</t>
  </si>
  <si>
    <t>Cable Management Kit</t>
  </si>
  <si>
    <t>P136</t>
  </si>
  <si>
    <t>WiFi Adapter</t>
  </si>
  <si>
    <t>P137</t>
  </si>
  <si>
    <t>External DVD Drive</t>
  </si>
  <si>
    <t>P138</t>
  </si>
  <si>
    <t>Printer Cable</t>
  </si>
  <si>
    <t>P139</t>
  </si>
  <si>
    <t>Keyboard Cleaner</t>
  </si>
  <si>
    <t>P140</t>
  </si>
  <si>
    <t>Laptop Cooling Pad</t>
  </si>
  <si>
    <t>P141</t>
  </si>
  <si>
    <t>USB Hub</t>
  </si>
  <si>
    <t>P142</t>
  </si>
  <si>
    <t>Anti-Glare Screen Protector</t>
  </si>
  <si>
    <t>P143</t>
  </si>
  <si>
    <t>USB-C Adapter</t>
  </si>
  <si>
    <t>P144</t>
  </si>
  <si>
    <t>Laptop Sleeve</t>
  </si>
  <si>
    <t>P145</t>
  </si>
  <si>
    <t>Wireless Charger</t>
  </si>
  <si>
    <t>P146</t>
  </si>
  <si>
    <t>Gaming Desk</t>
  </si>
  <si>
    <t xml:space="preserve"> Smartphones</t>
  </si>
  <si>
    <t>Employee Name</t>
  </si>
  <si>
    <t>Emp ID</t>
  </si>
  <si>
    <t>Sana</t>
  </si>
  <si>
    <t>E101</t>
  </si>
  <si>
    <t>Ahmed</t>
  </si>
  <si>
    <t>E102</t>
  </si>
  <si>
    <t>Mary</t>
  </si>
  <si>
    <t>E103</t>
  </si>
  <si>
    <t>Salary</t>
  </si>
  <si>
    <t>P1011</t>
  </si>
  <si>
    <t>P1095</t>
  </si>
  <si>
    <t>P1174</t>
  </si>
  <si>
    <t>Charliee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</si>
</sst>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F06EDC-1364-470B-B480-A013C3AD81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94A0-9E57-41CD-B45B-BDE725D937B9}">
  <sheetPr>
    <tabColor theme="2" tint="-0.249977111117893"/>
  </sheetPr>
  <dimension ref="A1:D13"/>
  <sheetViews>
    <sheetView workbookViewId="0">
      <selection activeCell="E5" sqref="E5"/>
    </sheetView>
  </sheetViews>
  <sheetFormatPr defaultRowHeight="14.4" x14ac:dyDescent="0.3"/>
  <cols>
    <col min="1" max="1" width="15" customWidth="1"/>
    <col min="2" max="2" width="20.44140625" customWidth="1"/>
    <col min="3" max="3" width="19" customWidth="1"/>
    <col min="4" max="4" width="21.44140625" customWidth="1"/>
    <col min="5" max="5" width="27.44140625" customWidth="1"/>
    <col min="6" max="6" width="21.5546875" customWidth="1"/>
    <col min="7" max="7" width="15.5546875" customWidth="1"/>
  </cols>
  <sheetData>
    <row r="1" spans="1:4" ht="25.8" x14ac:dyDescent="0.3">
      <c r="A1" s="10" t="s">
        <v>1</v>
      </c>
      <c r="B1" s="10" t="s">
        <v>2</v>
      </c>
      <c r="C1" s="10" t="s">
        <v>13</v>
      </c>
      <c r="D1" s="2"/>
    </row>
    <row r="2" spans="1:4" ht="25.8" x14ac:dyDescent="0.3">
      <c r="A2" s="11" t="s">
        <v>3</v>
      </c>
      <c r="B2" s="11">
        <v>95</v>
      </c>
      <c r="C2" s="11">
        <f>RANK(B2,$B$2:$B$7,0)</f>
        <v>1</v>
      </c>
      <c r="D2" s="3"/>
    </row>
    <row r="3" spans="1:4" ht="25.8" x14ac:dyDescent="0.3">
      <c r="A3" s="11" t="s">
        <v>4</v>
      </c>
      <c r="B3" s="11">
        <v>94</v>
      </c>
      <c r="C3" s="11">
        <f t="shared" ref="C3:C7" si="0">RANK(B3,$B$2:$B$7,0)</f>
        <v>2</v>
      </c>
      <c r="D3" s="3"/>
    </row>
    <row r="4" spans="1:4" ht="25.8" x14ac:dyDescent="0.3">
      <c r="A4" s="11" t="s">
        <v>5</v>
      </c>
      <c r="B4" s="11">
        <v>94</v>
      </c>
      <c r="C4" s="11">
        <f t="shared" si="0"/>
        <v>2</v>
      </c>
      <c r="D4" s="3"/>
    </row>
    <row r="5" spans="1:4" ht="25.8" x14ac:dyDescent="0.3">
      <c r="A5" s="11" t="s">
        <v>6</v>
      </c>
      <c r="B5" s="11">
        <v>92</v>
      </c>
      <c r="C5" s="11">
        <f t="shared" si="0"/>
        <v>4</v>
      </c>
      <c r="D5" s="3"/>
    </row>
    <row r="6" spans="1:4" ht="25.8" x14ac:dyDescent="0.3">
      <c r="A6" s="11" t="s">
        <v>7</v>
      </c>
      <c r="B6" s="11">
        <v>91</v>
      </c>
      <c r="C6" s="11">
        <f t="shared" si="0"/>
        <v>5</v>
      </c>
      <c r="D6" s="3"/>
    </row>
    <row r="7" spans="1:4" ht="25.8" x14ac:dyDescent="0.3">
      <c r="A7" s="11" t="s">
        <v>8</v>
      </c>
      <c r="B7" s="11">
        <v>90</v>
      </c>
      <c r="C7" s="11">
        <f t="shared" si="0"/>
        <v>6</v>
      </c>
      <c r="D7" s="3"/>
    </row>
    <row r="8" spans="1:4" x14ac:dyDescent="0.3">
      <c r="C8" s="1"/>
    </row>
    <row r="9" spans="1:4" x14ac:dyDescent="0.3">
      <c r="C9" s="1"/>
    </row>
    <row r="10" spans="1:4" x14ac:dyDescent="0.3">
      <c r="C10" s="1"/>
    </row>
    <row r="11" spans="1:4" x14ac:dyDescent="0.3">
      <c r="C11" s="1"/>
    </row>
    <row r="12" spans="1:4" x14ac:dyDescent="0.3">
      <c r="C12" s="1"/>
    </row>
    <row r="13" spans="1:4" x14ac:dyDescent="0.3">
      <c r="C13" s="1"/>
    </row>
  </sheetData>
  <phoneticPr fontId="2" type="noConversion"/>
  <dataValidations count="1">
    <dataValidation type="list" allowBlank="1" showInputMessage="1" showErrorMessage="1" sqref="E15" xr:uid="{2A89B930-D6F9-456E-8246-5FCCA0AB2CAF}">
      <formula1>$B$2:$B$13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F67B-E624-40FE-A6A5-3B2DE723793E}">
  <sheetPr>
    <tabColor rgb="FFFF0000"/>
  </sheetPr>
  <dimension ref="A1:C16"/>
  <sheetViews>
    <sheetView workbookViewId="0">
      <selection activeCell="H13" sqref="H13"/>
    </sheetView>
  </sheetViews>
  <sheetFormatPr defaultRowHeight="14.4" x14ac:dyDescent="0.3"/>
  <cols>
    <col min="1" max="1" width="18.109375" customWidth="1"/>
    <col min="2" max="2" width="24.33203125" customWidth="1"/>
    <col min="3" max="3" width="15.21875" customWidth="1"/>
    <col min="5" max="5" width="11.33203125" customWidth="1"/>
    <col min="8" max="8" width="24" customWidth="1"/>
  </cols>
  <sheetData>
    <row r="1" spans="1:3" ht="23.4" x14ac:dyDescent="0.3">
      <c r="A1" s="6" t="s">
        <v>0</v>
      </c>
      <c r="B1" s="6" t="s">
        <v>1</v>
      </c>
      <c r="C1" s="6" t="s">
        <v>2</v>
      </c>
    </row>
    <row r="2" spans="1:3" ht="23.4" x14ac:dyDescent="0.3">
      <c r="A2" s="7">
        <v>101</v>
      </c>
      <c r="B2" s="7" t="s">
        <v>3</v>
      </c>
      <c r="C2" s="7">
        <v>95</v>
      </c>
    </row>
    <row r="3" spans="1:3" ht="23.4" x14ac:dyDescent="0.3">
      <c r="A3" s="7">
        <v>102</v>
      </c>
      <c r="B3" s="7" t="s">
        <v>4</v>
      </c>
      <c r="C3" s="7">
        <v>82</v>
      </c>
    </row>
    <row r="4" spans="1:3" ht="23.4" x14ac:dyDescent="0.3">
      <c r="A4" s="7">
        <v>103</v>
      </c>
      <c r="B4" s="7" t="s">
        <v>5</v>
      </c>
      <c r="C4" s="7">
        <v>88</v>
      </c>
    </row>
    <row r="9" spans="1:3" ht="23.4" x14ac:dyDescent="0.45">
      <c r="A9" s="8" t="s">
        <v>9</v>
      </c>
      <c r="B9" s="8"/>
    </row>
    <row r="10" spans="1:3" ht="23.4" x14ac:dyDescent="0.45">
      <c r="A10" s="8" t="s">
        <v>1</v>
      </c>
      <c r="B10" s="8" t="s">
        <v>2</v>
      </c>
    </row>
    <row r="11" spans="1:3" ht="23.4" x14ac:dyDescent="0.45">
      <c r="A11" s="7" t="s">
        <v>126</v>
      </c>
      <c r="B11" s="8" t="str">
        <f>IFERROR(VLOOKUP(A11,B1:C4,2,0),"Name for Found")</f>
        <v>Name for Found</v>
      </c>
    </row>
    <row r="14" spans="1:3" ht="23.4" x14ac:dyDescent="0.45">
      <c r="A14" s="8" t="s">
        <v>9</v>
      </c>
      <c r="B14" s="8"/>
    </row>
    <row r="15" spans="1:3" ht="23.4" x14ac:dyDescent="0.45">
      <c r="A15" s="8" t="s">
        <v>2</v>
      </c>
      <c r="B15" s="8" t="s">
        <v>1</v>
      </c>
    </row>
    <row r="16" spans="1:3" ht="23.4" x14ac:dyDescent="0.45">
      <c r="A16" s="8">
        <v>82</v>
      </c>
      <c r="B16" s="7" t="str">
        <f>_xlfn.XLOOKUP(A16,C1:C4,B1:B4,"Data Not Found",0)</f>
        <v>Bob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4183-E529-4D23-B53C-67BDAED2B50F}">
  <sheetPr>
    <tabColor theme="2" tint="-0.749992370372631"/>
  </sheetPr>
  <dimension ref="A1:F11"/>
  <sheetViews>
    <sheetView workbookViewId="0">
      <selection activeCell="D17" sqref="D17"/>
    </sheetView>
  </sheetViews>
  <sheetFormatPr defaultRowHeight="14.4" x14ac:dyDescent="0.3"/>
  <cols>
    <col min="1" max="1" width="23.44140625" customWidth="1"/>
    <col min="2" max="2" width="19.88671875" customWidth="1"/>
    <col min="3" max="3" width="13.88671875" customWidth="1"/>
  </cols>
  <sheetData>
    <row r="1" spans="1:6" ht="25.8" x14ac:dyDescent="0.5">
      <c r="A1" s="4" t="s">
        <v>10</v>
      </c>
      <c r="B1" s="4">
        <v>1</v>
      </c>
      <c r="C1" s="4">
        <v>2</v>
      </c>
      <c r="D1" s="4">
        <v>3</v>
      </c>
      <c r="E1" s="4">
        <v>4</v>
      </c>
      <c r="F1" s="4">
        <v>5</v>
      </c>
    </row>
    <row r="2" spans="1:6" ht="25.8" x14ac:dyDescent="0.5">
      <c r="A2" s="4" t="s">
        <v>11</v>
      </c>
      <c r="B2" s="4">
        <v>456</v>
      </c>
      <c r="C2" s="4">
        <v>789</v>
      </c>
      <c r="D2" s="4">
        <v>876</v>
      </c>
      <c r="E2" s="4">
        <v>678</v>
      </c>
      <c r="F2" s="4">
        <v>765</v>
      </c>
    </row>
    <row r="3" spans="1:6" ht="25.8" x14ac:dyDescent="0.5">
      <c r="A3" s="4" t="s">
        <v>12</v>
      </c>
      <c r="B3" s="4">
        <v>55</v>
      </c>
      <c r="C3" s="4">
        <v>66</v>
      </c>
      <c r="D3" s="4">
        <v>76</v>
      </c>
      <c r="E3" s="4">
        <v>78</v>
      </c>
      <c r="F3" s="4">
        <v>998</v>
      </c>
    </row>
    <row r="9" spans="1:6" ht="31.2" x14ac:dyDescent="0.6">
      <c r="B9" s="5" t="s">
        <v>10</v>
      </c>
      <c r="C9" s="5">
        <v>5</v>
      </c>
    </row>
    <row r="10" spans="1:6" ht="31.2" x14ac:dyDescent="0.6">
      <c r="B10" s="5" t="s">
        <v>11</v>
      </c>
      <c r="C10" s="5">
        <f>_xlfn.XLOOKUP(C9,A1:F1,A2:F2,"ID not found",0)</f>
        <v>765</v>
      </c>
    </row>
    <row r="11" spans="1:6" ht="31.2" x14ac:dyDescent="0.6">
      <c r="B11" s="5" t="s">
        <v>12</v>
      </c>
      <c r="C11" s="5">
        <f>_xlfn.XLOOKUP(C9,A1:F1,A3:F3,"ID not available",0)</f>
        <v>998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D39C-57F8-4452-A0D4-F99A3A7CB854}">
  <sheetPr>
    <tabColor theme="1" tint="0.14999847407452621"/>
  </sheetPr>
  <dimension ref="A1:C9"/>
  <sheetViews>
    <sheetView workbookViewId="0">
      <selection activeCell="B9" sqref="B9"/>
    </sheetView>
  </sheetViews>
  <sheetFormatPr defaultRowHeight="14.4" x14ac:dyDescent="0.3"/>
  <cols>
    <col min="1" max="1" width="14.5546875" customWidth="1"/>
    <col min="2" max="2" width="18.77734375" customWidth="1"/>
    <col min="3" max="3" width="15.5546875" customWidth="1"/>
    <col min="6" max="6" width="17.6640625" customWidth="1"/>
  </cols>
  <sheetData>
    <row r="1" spans="1:3" ht="23.4" x14ac:dyDescent="0.3">
      <c r="A1" s="6" t="s">
        <v>0</v>
      </c>
      <c r="B1" s="6" t="s">
        <v>1</v>
      </c>
      <c r="C1" s="6" t="s">
        <v>2</v>
      </c>
    </row>
    <row r="2" spans="1:3" ht="23.4" x14ac:dyDescent="0.3">
      <c r="A2" s="7">
        <v>101</v>
      </c>
      <c r="B2" s="7" t="s">
        <v>3</v>
      </c>
      <c r="C2" s="7">
        <v>95</v>
      </c>
    </row>
    <row r="3" spans="1:3" ht="23.4" x14ac:dyDescent="0.3">
      <c r="A3" s="7">
        <v>102</v>
      </c>
      <c r="B3" s="7" t="s">
        <v>4</v>
      </c>
      <c r="C3" s="7">
        <v>82</v>
      </c>
    </row>
    <row r="4" spans="1:3" ht="23.4" x14ac:dyDescent="0.3">
      <c r="A4" s="7">
        <v>103</v>
      </c>
      <c r="B4" s="7" t="s">
        <v>5</v>
      </c>
      <c r="C4" s="7">
        <v>88</v>
      </c>
    </row>
    <row r="7" spans="1:3" ht="31.2" x14ac:dyDescent="0.6">
      <c r="A7" s="9" t="s">
        <v>0</v>
      </c>
      <c r="B7" s="9">
        <v>102</v>
      </c>
    </row>
    <row r="8" spans="1:3" ht="31.2" x14ac:dyDescent="0.6">
      <c r="A8" s="9" t="s">
        <v>1</v>
      </c>
      <c r="B8" s="9" t="str">
        <f>_xlfn.XLOOKUP(B7,A1:A4,B1:B4,"ID not found",0)</f>
        <v>Bob</v>
      </c>
    </row>
    <row r="9" spans="1:3" ht="31.2" x14ac:dyDescent="0.6">
      <c r="A9" s="9" t="s">
        <v>3</v>
      </c>
      <c r="B9" s="9">
        <f>_xlfn.XLOOKUP(A9,B1:B4,A1:A4,"Data Not Avaiable",0)</f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D1D8-078D-4D68-B13E-AA5F04548323}">
  <sheetPr>
    <tabColor theme="9"/>
  </sheetPr>
  <dimension ref="A1:H47"/>
  <sheetViews>
    <sheetView workbookViewId="0">
      <selection activeCell="E1" sqref="E1:E17"/>
    </sheetView>
  </sheetViews>
  <sheetFormatPr defaultRowHeight="14.4" x14ac:dyDescent="0.3"/>
  <cols>
    <col min="1" max="1" width="18.88671875" customWidth="1"/>
    <col min="2" max="2" width="17.88671875" customWidth="1"/>
    <col min="3" max="3" width="17.44140625" customWidth="1"/>
    <col min="4" max="4" width="19.21875" customWidth="1"/>
    <col min="5" max="5" width="21" customWidth="1"/>
    <col min="6" max="6" width="15.21875" customWidth="1"/>
    <col min="7" max="7" width="16.77734375" customWidth="1"/>
    <col min="8" max="8" width="27.44140625" customWidth="1"/>
  </cols>
  <sheetData>
    <row r="1" spans="1:8" ht="62.4" x14ac:dyDescent="0.3">
      <c r="A1" s="12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</row>
    <row r="2" spans="1:8" x14ac:dyDescent="0.3">
      <c r="A2" s="14" t="s">
        <v>23</v>
      </c>
      <c r="B2" s="14" t="s">
        <v>113</v>
      </c>
      <c r="C2" s="14">
        <v>70</v>
      </c>
      <c r="D2" s="14">
        <v>30</v>
      </c>
      <c r="E2" s="14">
        <v>20</v>
      </c>
      <c r="F2" s="14">
        <v>80</v>
      </c>
      <c r="G2" s="14">
        <v>900</v>
      </c>
      <c r="H2" s="14">
        <v>72000</v>
      </c>
    </row>
    <row r="3" spans="1:8" x14ac:dyDescent="0.3">
      <c r="A3" s="14" t="s">
        <v>24</v>
      </c>
      <c r="B3" s="14" t="s">
        <v>25</v>
      </c>
      <c r="C3" s="14">
        <v>70</v>
      </c>
      <c r="D3" s="14">
        <v>30</v>
      </c>
      <c r="E3" s="14">
        <v>15</v>
      </c>
      <c r="F3" s="14">
        <v>75</v>
      </c>
      <c r="G3" s="14">
        <v>25</v>
      </c>
      <c r="H3" s="14">
        <v>750</v>
      </c>
    </row>
    <row r="4" spans="1:8" x14ac:dyDescent="0.3">
      <c r="A4" s="14" t="s">
        <v>26</v>
      </c>
      <c r="B4" s="14" t="s">
        <v>14</v>
      </c>
      <c r="C4" s="14">
        <v>50</v>
      </c>
      <c r="D4" s="14">
        <v>20</v>
      </c>
      <c r="E4" s="14">
        <v>10</v>
      </c>
      <c r="F4" s="14">
        <v>60</v>
      </c>
      <c r="G4" s="14">
        <v>1200</v>
      </c>
      <c r="H4" s="14">
        <v>72000</v>
      </c>
    </row>
    <row r="5" spans="1:8" x14ac:dyDescent="0.3">
      <c r="A5" s="14" t="s">
        <v>27</v>
      </c>
      <c r="B5" s="14" t="s">
        <v>28</v>
      </c>
      <c r="C5" s="14">
        <v>60</v>
      </c>
      <c r="D5" s="14">
        <v>25</v>
      </c>
      <c r="E5" s="14">
        <v>15</v>
      </c>
      <c r="F5" s="14">
        <v>70</v>
      </c>
      <c r="G5" s="14">
        <v>50</v>
      </c>
      <c r="H5" s="14">
        <v>3500</v>
      </c>
    </row>
    <row r="6" spans="1:8" x14ac:dyDescent="0.3">
      <c r="A6" s="14" t="s">
        <v>29</v>
      </c>
      <c r="B6" s="14" t="s">
        <v>30</v>
      </c>
      <c r="C6" s="14">
        <v>55</v>
      </c>
      <c r="D6" s="14">
        <v>22</v>
      </c>
      <c r="E6" s="14">
        <v>12</v>
      </c>
      <c r="F6" s="14">
        <v>65</v>
      </c>
      <c r="G6" s="14">
        <v>150</v>
      </c>
      <c r="H6" s="14">
        <v>9750</v>
      </c>
    </row>
    <row r="7" spans="1:8" x14ac:dyDescent="0.3">
      <c r="A7" s="14" t="s">
        <v>31</v>
      </c>
      <c r="B7" s="14" t="s">
        <v>32</v>
      </c>
      <c r="C7" s="14">
        <v>50</v>
      </c>
      <c r="D7" s="14">
        <v>25</v>
      </c>
      <c r="E7" s="14">
        <v>12</v>
      </c>
      <c r="F7" s="14">
        <v>63</v>
      </c>
      <c r="G7" s="14">
        <v>20</v>
      </c>
      <c r="H7" s="14">
        <v>1260</v>
      </c>
    </row>
    <row r="8" spans="1:8" x14ac:dyDescent="0.3">
      <c r="A8" s="14" t="s">
        <v>33</v>
      </c>
      <c r="B8" s="14" t="s">
        <v>34</v>
      </c>
      <c r="C8" s="14">
        <v>50</v>
      </c>
      <c r="D8" s="14">
        <v>22</v>
      </c>
      <c r="E8" s="14">
        <v>11</v>
      </c>
      <c r="F8" s="14">
        <v>61</v>
      </c>
      <c r="G8" s="14">
        <v>80</v>
      </c>
      <c r="H8" s="14">
        <v>4880</v>
      </c>
    </row>
    <row r="9" spans="1:8" x14ac:dyDescent="0.3">
      <c r="A9" s="14" t="s">
        <v>35</v>
      </c>
      <c r="B9" s="14" t="s">
        <v>36</v>
      </c>
      <c r="C9" s="14">
        <v>60</v>
      </c>
      <c r="D9" s="14">
        <v>25</v>
      </c>
      <c r="E9" s="14">
        <v>12</v>
      </c>
      <c r="F9" s="14">
        <v>73</v>
      </c>
      <c r="G9" s="14">
        <v>60</v>
      </c>
      <c r="H9" s="14">
        <v>4380</v>
      </c>
    </row>
    <row r="10" spans="1:8" x14ac:dyDescent="0.3">
      <c r="A10" s="14" t="s">
        <v>37</v>
      </c>
      <c r="B10" s="14" t="s">
        <v>38</v>
      </c>
      <c r="C10" s="14">
        <v>50</v>
      </c>
      <c r="D10" s="14">
        <v>20</v>
      </c>
      <c r="E10" s="14">
        <v>8</v>
      </c>
      <c r="F10" s="14">
        <v>58</v>
      </c>
      <c r="G10" s="14">
        <v>10</v>
      </c>
      <c r="H10" s="14">
        <v>580</v>
      </c>
    </row>
    <row r="11" spans="1:8" x14ac:dyDescent="0.3">
      <c r="A11" s="14" t="s">
        <v>39</v>
      </c>
      <c r="B11" s="14" t="s">
        <v>40</v>
      </c>
      <c r="C11" s="14">
        <v>50</v>
      </c>
      <c r="D11" s="14">
        <v>20</v>
      </c>
      <c r="E11" s="14">
        <v>9</v>
      </c>
      <c r="F11" s="14">
        <v>61</v>
      </c>
      <c r="G11" s="14">
        <v>8</v>
      </c>
      <c r="H11" s="14">
        <v>488</v>
      </c>
    </row>
    <row r="12" spans="1:8" x14ac:dyDescent="0.3">
      <c r="A12" s="14" t="s">
        <v>41</v>
      </c>
      <c r="B12" s="14" t="s">
        <v>42</v>
      </c>
      <c r="C12" s="14">
        <v>40</v>
      </c>
      <c r="D12" s="14">
        <v>15</v>
      </c>
      <c r="E12" s="14">
        <v>5</v>
      </c>
      <c r="F12" s="14">
        <v>-5</v>
      </c>
      <c r="G12" s="14">
        <v>500</v>
      </c>
      <c r="H12" s="14">
        <v>25000</v>
      </c>
    </row>
    <row r="13" spans="1:8" x14ac:dyDescent="0.3">
      <c r="A13" s="14" t="s">
        <v>43</v>
      </c>
      <c r="B13" s="14" t="s">
        <v>44</v>
      </c>
      <c r="C13" s="14">
        <v>30</v>
      </c>
      <c r="D13" s="14">
        <v>10</v>
      </c>
      <c r="E13" s="14">
        <v>3</v>
      </c>
      <c r="F13" s="14">
        <v>-6</v>
      </c>
      <c r="G13" s="14">
        <v>100</v>
      </c>
      <c r="H13" s="14">
        <v>3700</v>
      </c>
    </row>
    <row r="14" spans="1:8" x14ac:dyDescent="0.3">
      <c r="A14" s="14" t="s">
        <v>45</v>
      </c>
      <c r="B14" s="14" t="s">
        <v>46</v>
      </c>
      <c r="C14" s="14">
        <v>45</v>
      </c>
      <c r="D14" s="14">
        <v>18</v>
      </c>
      <c r="E14" s="14">
        <v>8</v>
      </c>
      <c r="F14" s="14">
        <v>-3</v>
      </c>
      <c r="G14" s="14">
        <v>700</v>
      </c>
      <c r="H14" s="14">
        <v>38500</v>
      </c>
    </row>
    <row r="15" spans="1:8" x14ac:dyDescent="0.3">
      <c r="A15" s="14" t="s">
        <v>47</v>
      </c>
      <c r="B15" s="14" t="s">
        <v>48</v>
      </c>
      <c r="C15" s="14">
        <v>25</v>
      </c>
      <c r="D15" s="14">
        <v>12</v>
      </c>
      <c r="E15" s="14">
        <v>5</v>
      </c>
      <c r="F15" s="14">
        <v>-2</v>
      </c>
      <c r="G15" s="14">
        <v>200</v>
      </c>
      <c r="H15" s="14">
        <v>6400</v>
      </c>
    </row>
    <row r="16" spans="1:8" x14ac:dyDescent="0.3">
      <c r="A16" s="14" t="s">
        <v>49</v>
      </c>
      <c r="B16" s="14" t="s">
        <v>50</v>
      </c>
      <c r="C16" s="14">
        <v>35</v>
      </c>
      <c r="D16" s="14">
        <v>15</v>
      </c>
      <c r="E16" s="14">
        <v>7</v>
      </c>
      <c r="F16" s="14">
        <v>43</v>
      </c>
      <c r="G16" s="14">
        <v>80</v>
      </c>
      <c r="H16" s="14">
        <v>3440</v>
      </c>
    </row>
    <row r="17" spans="1:8" x14ac:dyDescent="0.3">
      <c r="A17" s="14" t="s">
        <v>51</v>
      </c>
      <c r="B17" s="14" t="s">
        <v>52</v>
      </c>
      <c r="C17" s="14">
        <v>40</v>
      </c>
      <c r="D17" s="14">
        <v>20</v>
      </c>
      <c r="E17" s="14">
        <v>10</v>
      </c>
      <c r="F17" s="14">
        <v>2</v>
      </c>
      <c r="G17" s="14">
        <v>60</v>
      </c>
      <c r="H17" s="14">
        <v>3000</v>
      </c>
    </row>
    <row r="18" spans="1:8" x14ac:dyDescent="0.3">
      <c r="A18" s="14" t="s">
        <v>53</v>
      </c>
      <c r="B18" s="14" t="s">
        <v>54</v>
      </c>
      <c r="C18" s="14">
        <v>20</v>
      </c>
      <c r="D18" s="14">
        <v>8</v>
      </c>
      <c r="E18" s="14">
        <v>3</v>
      </c>
      <c r="F18" s="14">
        <v>25</v>
      </c>
      <c r="G18" s="14">
        <v>150</v>
      </c>
      <c r="H18" s="14">
        <v>3750</v>
      </c>
    </row>
    <row r="19" spans="1:8" x14ac:dyDescent="0.3">
      <c r="A19" s="14" t="s">
        <v>55</v>
      </c>
      <c r="B19" s="14" t="s">
        <v>56</v>
      </c>
      <c r="C19" s="14">
        <v>30</v>
      </c>
      <c r="D19" s="14">
        <v>15</v>
      </c>
      <c r="E19" s="14">
        <v>7</v>
      </c>
      <c r="F19" s="14">
        <v>1</v>
      </c>
      <c r="G19" s="14">
        <v>30</v>
      </c>
      <c r="H19" s="14">
        <v>1140</v>
      </c>
    </row>
    <row r="20" spans="1:8" x14ac:dyDescent="0.3">
      <c r="A20" s="14" t="s">
        <v>57</v>
      </c>
      <c r="B20" s="14" t="s">
        <v>58</v>
      </c>
      <c r="C20" s="14">
        <v>40</v>
      </c>
      <c r="D20" s="14">
        <v>20</v>
      </c>
      <c r="E20" s="14">
        <v>8</v>
      </c>
      <c r="F20" s="14">
        <v>52</v>
      </c>
      <c r="G20" s="14">
        <v>25</v>
      </c>
      <c r="H20" s="14">
        <v>1300</v>
      </c>
    </row>
    <row r="21" spans="1:8" x14ac:dyDescent="0.3">
      <c r="A21" s="14" t="s">
        <v>59</v>
      </c>
      <c r="B21" s="14" t="s">
        <v>60</v>
      </c>
      <c r="C21" s="14">
        <v>35</v>
      </c>
      <c r="D21" s="14">
        <v>15</v>
      </c>
      <c r="E21" s="14">
        <v>5</v>
      </c>
      <c r="F21" s="14">
        <v>45</v>
      </c>
      <c r="G21" s="14">
        <v>40</v>
      </c>
      <c r="H21" s="14">
        <v>1800</v>
      </c>
    </row>
    <row r="22" spans="1:8" x14ac:dyDescent="0.3">
      <c r="A22" s="14" t="s">
        <v>61</v>
      </c>
      <c r="B22" s="14" t="s">
        <v>62</v>
      </c>
      <c r="C22" s="14">
        <v>25</v>
      </c>
      <c r="D22" s="14">
        <v>10</v>
      </c>
      <c r="E22" s="14">
        <v>4</v>
      </c>
      <c r="F22" s="14">
        <v>31</v>
      </c>
      <c r="G22" s="14">
        <v>100</v>
      </c>
      <c r="H22" s="14">
        <v>3100</v>
      </c>
    </row>
    <row r="23" spans="1:8" x14ac:dyDescent="0.3">
      <c r="A23" s="14" t="s">
        <v>63</v>
      </c>
      <c r="B23" s="14" t="s">
        <v>64</v>
      </c>
      <c r="C23" s="14">
        <v>30</v>
      </c>
      <c r="D23" s="14">
        <v>12</v>
      </c>
      <c r="E23" s="14">
        <v>6</v>
      </c>
      <c r="F23" s="14">
        <v>36</v>
      </c>
      <c r="G23" s="14">
        <v>80</v>
      </c>
      <c r="H23" s="14">
        <v>2880</v>
      </c>
    </row>
    <row r="24" spans="1:8" x14ac:dyDescent="0.3">
      <c r="A24" s="14" t="s">
        <v>65</v>
      </c>
      <c r="B24" s="14" t="s">
        <v>66</v>
      </c>
      <c r="C24" s="14">
        <v>20</v>
      </c>
      <c r="D24" s="14">
        <v>8</v>
      </c>
      <c r="E24" s="14">
        <v>3</v>
      </c>
      <c r="F24" s="14">
        <v>25</v>
      </c>
      <c r="G24" s="14">
        <v>120</v>
      </c>
      <c r="H24" s="14">
        <v>3000</v>
      </c>
    </row>
    <row r="25" spans="1:8" x14ac:dyDescent="0.3">
      <c r="A25" s="14" t="s">
        <v>67</v>
      </c>
      <c r="B25" s="14" t="s">
        <v>68</v>
      </c>
      <c r="C25" s="14">
        <v>15</v>
      </c>
      <c r="D25" s="14">
        <v>6</v>
      </c>
      <c r="E25" s="14">
        <v>2</v>
      </c>
      <c r="F25" s="14">
        <v>19</v>
      </c>
      <c r="G25" s="14">
        <v>200</v>
      </c>
      <c r="H25" s="14">
        <v>3800</v>
      </c>
    </row>
    <row r="26" spans="1:8" x14ac:dyDescent="0.3">
      <c r="A26" s="14" t="s">
        <v>69</v>
      </c>
      <c r="B26" s="14" t="s">
        <v>70</v>
      </c>
      <c r="C26" s="14">
        <v>25</v>
      </c>
      <c r="D26" s="14">
        <v>10</v>
      </c>
      <c r="E26" s="14">
        <v>4</v>
      </c>
      <c r="F26" s="14">
        <v>29</v>
      </c>
      <c r="G26" s="14">
        <v>400</v>
      </c>
      <c r="H26" s="14">
        <v>11600</v>
      </c>
    </row>
    <row r="27" spans="1:8" x14ac:dyDescent="0.3">
      <c r="A27" s="14" t="s">
        <v>71</v>
      </c>
      <c r="B27" s="14" t="s">
        <v>72</v>
      </c>
      <c r="C27" s="14">
        <v>40</v>
      </c>
      <c r="D27" s="14">
        <v>18</v>
      </c>
      <c r="E27" s="14">
        <v>9</v>
      </c>
      <c r="F27" s="14">
        <v>49</v>
      </c>
      <c r="G27" s="14">
        <v>600</v>
      </c>
      <c r="H27" s="14">
        <v>29400</v>
      </c>
    </row>
    <row r="28" spans="1:8" x14ac:dyDescent="0.3">
      <c r="A28" s="14" t="s">
        <v>73</v>
      </c>
      <c r="B28" s="14" t="s">
        <v>74</v>
      </c>
      <c r="C28" s="14">
        <v>30</v>
      </c>
      <c r="D28" s="14">
        <v>15</v>
      </c>
      <c r="E28" s="14">
        <v>7</v>
      </c>
      <c r="F28" s="14">
        <v>38</v>
      </c>
      <c r="G28" s="14">
        <v>350</v>
      </c>
      <c r="H28" s="14">
        <v>13300</v>
      </c>
    </row>
    <row r="29" spans="1:8" x14ac:dyDescent="0.3">
      <c r="A29" s="14" t="s">
        <v>75</v>
      </c>
      <c r="B29" s="14" t="s">
        <v>76</v>
      </c>
      <c r="C29" s="14">
        <v>25</v>
      </c>
      <c r="D29" s="14">
        <v>12</v>
      </c>
      <c r="E29" s="14">
        <v>5</v>
      </c>
      <c r="F29" s="14">
        <v>32</v>
      </c>
      <c r="G29" s="14">
        <v>200</v>
      </c>
      <c r="H29" s="14">
        <v>6400</v>
      </c>
    </row>
    <row r="30" spans="1:8" x14ac:dyDescent="0.3">
      <c r="A30" s="14" t="s">
        <v>77</v>
      </c>
      <c r="B30" s="14" t="s">
        <v>78</v>
      </c>
      <c r="C30" s="14">
        <v>45</v>
      </c>
      <c r="D30" s="14">
        <v>20</v>
      </c>
      <c r="E30" s="14">
        <v>8</v>
      </c>
      <c r="F30" s="14">
        <v>57</v>
      </c>
      <c r="G30" s="14">
        <v>120</v>
      </c>
      <c r="H30" s="14">
        <v>6840</v>
      </c>
    </row>
    <row r="31" spans="1:8" x14ac:dyDescent="0.3">
      <c r="A31" s="14" t="s">
        <v>79</v>
      </c>
      <c r="B31" s="14" t="s">
        <v>80</v>
      </c>
      <c r="C31" s="14">
        <v>35</v>
      </c>
      <c r="D31" s="14">
        <v>15</v>
      </c>
      <c r="E31" s="14">
        <v>6</v>
      </c>
      <c r="F31" s="14">
        <v>44</v>
      </c>
      <c r="G31" s="14">
        <v>100</v>
      </c>
      <c r="H31" s="14">
        <v>4400</v>
      </c>
    </row>
    <row r="32" spans="1:8" x14ac:dyDescent="0.3">
      <c r="A32" s="14" t="s">
        <v>81</v>
      </c>
      <c r="B32" s="14" t="s">
        <v>82</v>
      </c>
      <c r="C32" s="14">
        <v>40</v>
      </c>
      <c r="D32" s="14">
        <v>18</v>
      </c>
      <c r="E32" s="14">
        <v>9</v>
      </c>
      <c r="F32" s="14">
        <v>49</v>
      </c>
      <c r="G32" s="14">
        <v>80</v>
      </c>
      <c r="H32" s="14">
        <v>3920</v>
      </c>
    </row>
    <row r="33" spans="1:8" x14ac:dyDescent="0.3">
      <c r="A33" s="14" t="s">
        <v>83</v>
      </c>
      <c r="B33" s="14" t="s">
        <v>84</v>
      </c>
      <c r="C33" s="14">
        <v>30</v>
      </c>
      <c r="D33" s="14">
        <v>12</v>
      </c>
      <c r="E33" s="14">
        <v>4</v>
      </c>
      <c r="F33" s="14">
        <v>34</v>
      </c>
      <c r="G33" s="14">
        <v>50</v>
      </c>
      <c r="H33" s="14">
        <v>1700</v>
      </c>
    </row>
    <row r="34" spans="1:8" x14ac:dyDescent="0.3">
      <c r="A34" s="14" t="s">
        <v>85</v>
      </c>
      <c r="B34" s="14" t="s">
        <v>86</v>
      </c>
      <c r="C34" s="14">
        <v>25</v>
      </c>
      <c r="D34" s="14">
        <v>10</v>
      </c>
      <c r="E34" s="14">
        <v>3</v>
      </c>
      <c r="F34" s="14">
        <v>28</v>
      </c>
      <c r="G34" s="14">
        <v>30</v>
      </c>
      <c r="H34" s="14">
        <v>840</v>
      </c>
    </row>
    <row r="35" spans="1:8" x14ac:dyDescent="0.3">
      <c r="A35" s="14" t="s">
        <v>87</v>
      </c>
      <c r="B35" s="14" t="s">
        <v>88</v>
      </c>
      <c r="C35" s="14">
        <v>40</v>
      </c>
      <c r="D35" s="14">
        <v>15</v>
      </c>
      <c r="E35" s="14">
        <v>5</v>
      </c>
      <c r="F35" s="14">
        <v>50</v>
      </c>
      <c r="G35" s="14">
        <v>5</v>
      </c>
      <c r="H35" s="14">
        <v>250</v>
      </c>
    </row>
    <row r="36" spans="1:8" x14ac:dyDescent="0.3">
      <c r="A36" s="14" t="s">
        <v>89</v>
      </c>
      <c r="B36" s="14" t="s">
        <v>90</v>
      </c>
      <c r="C36" s="14">
        <v>30</v>
      </c>
      <c r="D36" s="14">
        <v>12</v>
      </c>
      <c r="E36" s="14">
        <v>4</v>
      </c>
      <c r="F36" s="14">
        <v>34</v>
      </c>
      <c r="G36" s="14">
        <v>15</v>
      </c>
      <c r="H36" s="14">
        <v>510</v>
      </c>
    </row>
    <row r="37" spans="1:8" x14ac:dyDescent="0.3">
      <c r="A37" s="14" t="s">
        <v>91</v>
      </c>
      <c r="B37" s="14" t="s">
        <v>92</v>
      </c>
      <c r="C37" s="14">
        <v>20</v>
      </c>
      <c r="D37" s="14">
        <v>8</v>
      </c>
      <c r="E37" s="14">
        <v>3</v>
      </c>
      <c r="F37" s="14">
        <v>23</v>
      </c>
      <c r="G37" s="14">
        <v>20</v>
      </c>
      <c r="H37" s="14">
        <v>460</v>
      </c>
    </row>
    <row r="38" spans="1:8" x14ac:dyDescent="0.3">
      <c r="A38" s="14" t="s">
        <v>93</v>
      </c>
      <c r="B38" s="14" t="s">
        <v>94</v>
      </c>
      <c r="C38" s="14">
        <v>15</v>
      </c>
      <c r="D38" s="14">
        <v>6</v>
      </c>
      <c r="E38" s="14">
        <v>2</v>
      </c>
      <c r="F38" s="14">
        <v>17</v>
      </c>
      <c r="G38" s="14">
        <v>50</v>
      </c>
      <c r="H38" s="14">
        <v>850</v>
      </c>
    </row>
    <row r="39" spans="1:8" x14ac:dyDescent="0.3">
      <c r="A39" s="14" t="s">
        <v>95</v>
      </c>
      <c r="B39" s="14" t="s">
        <v>96</v>
      </c>
      <c r="C39" s="14">
        <v>25</v>
      </c>
      <c r="D39" s="14">
        <v>10</v>
      </c>
      <c r="E39" s="14">
        <v>4</v>
      </c>
      <c r="F39" s="14">
        <v>29</v>
      </c>
      <c r="G39" s="14">
        <v>5</v>
      </c>
      <c r="H39" s="14">
        <v>145</v>
      </c>
    </row>
    <row r="40" spans="1:8" x14ac:dyDescent="0.3">
      <c r="A40" s="14" t="s">
        <v>97</v>
      </c>
      <c r="B40" s="14" t="s">
        <v>98</v>
      </c>
      <c r="C40" s="14">
        <v>40</v>
      </c>
      <c r="D40" s="14">
        <v>18</v>
      </c>
      <c r="E40" s="14">
        <v>9</v>
      </c>
      <c r="F40" s="14">
        <v>49</v>
      </c>
      <c r="G40" s="14">
        <v>8</v>
      </c>
      <c r="H40" s="14">
        <v>392</v>
      </c>
    </row>
    <row r="41" spans="1:8" x14ac:dyDescent="0.3">
      <c r="A41" s="14" t="s">
        <v>99</v>
      </c>
      <c r="B41" s="14" t="s">
        <v>100</v>
      </c>
      <c r="C41" s="14">
        <v>30</v>
      </c>
      <c r="D41" s="14">
        <v>15</v>
      </c>
      <c r="E41" s="14">
        <v>6</v>
      </c>
      <c r="F41" s="14">
        <v>39</v>
      </c>
      <c r="G41" s="14">
        <v>20</v>
      </c>
      <c r="H41" s="14">
        <v>780</v>
      </c>
    </row>
    <row r="42" spans="1:8" x14ac:dyDescent="0.3">
      <c r="A42" s="14" t="s">
        <v>101</v>
      </c>
      <c r="B42" s="14" t="s">
        <v>102</v>
      </c>
      <c r="C42" s="14">
        <v>35</v>
      </c>
      <c r="D42" s="14">
        <v>12</v>
      </c>
      <c r="E42" s="14">
        <v>4</v>
      </c>
      <c r="F42" s="14">
        <v>31</v>
      </c>
      <c r="G42" s="14">
        <v>15</v>
      </c>
      <c r="H42" s="14">
        <v>465</v>
      </c>
    </row>
    <row r="43" spans="1:8" x14ac:dyDescent="0.3">
      <c r="A43" s="14" t="s">
        <v>103</v>
      </c>
      <c r="B43" s="14" t="s">
        <v>104</v>
      </c>
      <c r="C43" s="14">
        <v>25</v>
      </c>
      <c r="D43" s="14">
        <v>8</v>
      </c>
      <c r="E43" s="14">
        <v>3</v>
      </c>
      <c r="F43" s="14">
        <v>28</v>
      </c>
      <c r="G43" s="14">
        <v>10</v>
      </c>
      <c r="H43" s="14">
        <v>280</v>
      </c>
    </row>
    <row r="44" spans="1:8" x14ac:dyDescent="0.3">
      <c r="A44" s="14" t="s">
        <v>105</v>
      </c>
      <c r="B44" s="14" t="s">
        <v>106</v>
      </c>
      <c r="C44" s="14">
        <v>20</v>
      </c>
      <c r="D44" s="14">
        <v>10</v>
      </c>
      <c r="E44" s="14">
        <v>4</v>
      </c>
      <c r="F44" s="14">
        <v>24</v>
      </c>
      <c r="G44" s="14">
        <v>15</v>
      </c>
      <c r="H44" s="14">
        <v>360</v>
      </c>
    </row>
    <row r="45" spans="1:8" x14ac:dyDescent="0.3">
      <c r="A45" s="14" t="s">
        <v>107</v>
      </c>
      <c r="B45" s="14" t="s">
        <v>108</v>
      </c>
      <c r="C45" s="14">
        <v>30</v>
      </c>
      <c r="D45" s="14">
        <v>12</v>
      </c>
      <c r="E45" s="14">
        <v>5</v>
      </c>
      <c r="F45" s="14">
        <v>37</v>
      </c>
      <c r="G45" s="14">
        <v>20</v>
      </c>
      <c r="H45" s="14">
        <v>740</v>
      </c>
    </row>
    <row r="46" spans="1:8" x14ac:dyDescent="0.3">
      <c r="A46" s="14" t="s">
        <v>109</v>
      </c>
      <c r="B46" s="14" t="s">
        <v>110</v>
      </c>
      <c r="C46" s="14">
        <v>40</v>
      </c>
      <c r="D46" s="14">
        <v>18</v>
      </c>
      <c r="E46" s="14">
        <v>7</v>
      </c>
      <c r="F46" s="14">
        <v>51</v>
      </c>
      <c r="G46" s="14">
        <v>30</v>
      </c>
      <c r="H46" s="14">
        <v>1530</v>
      </c>
    </row>
    <row r="47" spans="1:8" x14ac:dyDescent="0.3">
      <c r="A47" s="14" t="s">
        <v>111</v>
      </c>
      <c r="B47" s="14" t="s">
        <v>112</v>
      </c>
      <c r="C47" s="14">
        <v>25</v>
      </c>
      <c r="D47" s="14">
        <v>10</v>
      </c>
      <c r="E47" s="14">
        <v>3</v>
      </c>
      <c r="F47" s="14">
        <v>28</v>
      </c>
      <c r="G47" s="14">
        <v>150</v>
      </c>
      <c r="H47" s="14">
        <v>4200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3F6F-640B-4F4C-A9FD-00BA953E59E3}">
  <sheetPr>
    <tabColor theme="5" tint="-0.249977111117893"/>
  </sheetPr>
  <dimension ref="A1:B47"/>
  <sheetViews>
    <sheetView workbookViewId="0">
      <selection activeCell="C13" sqref="C13"/>
    </sheetView>
  </sheetViews>
  <sheetFormatPr defaultRowHeight="14.4" x14ac:dyDescent="0.3"/>
  <cols>
    <col min="1" max="1" width="12" style="17" customWidth="1"/>
    <col min="2" max="2" width="20.77734375" style="17" customWidth="1"/>
    <col min="3" max="3" width="19.33203125" customWidth="1"/>
  </cols>
  <sheetData>
    <row r="1" spans="1:2" ht="31.2" x14ac:dyDescent="0.3">
      <c r="A1" s="15" t="s">
        <v>15</v>
      </c>
      <c r="B1" s="20" t="s">
        <v>19</v>
      </c>
    </row>
    <row r="2" spans="1:2" x14ac:dyDescent="0.3">
      <c r="A2" s="16" t="s">
        <v>123</v>
      </c>
      <c r="B2" s="17" t="str">
        <f>_xlfn.XLOOKUP(A2,Data!A1:A47,Data!E1:E47,"ID not available",0)</f>
        <v>ID not available</v>
      </c>
    </row>
    <row r="3" spans="1:2" x14ac:dyDescent="0.3">
      <c r="A3" s="16" t="s">
        <v>24</v>
      </c>
      <c r="B3" s="17">
        <f>_xlfn.XLOOKUP(A3,Data!A2:A48,Data!E2:E48,"ID not available",0)</f>
        <v>15</v>
      </c>
    </row>
    <row r="4" spans="1:2" x14ac:dyDescent="0.3">
      <c r="A4" s="16" t="s">
        <v>26</v>
      </c>
      <c r="B4" s="17">
        <f>_xlfn.XLOOKUP(A4,Data!A3:A49,Data!E3:E49,"ID not available",0)</f>
        <v>10</v>
      </c>
    </row>
    <row r="5" spans="1:2" x14ac:dyDescent="0.3">
      <c r="A5" s="16" t="s">
        <v>27</v>
      </c>
      <c r="B5" s="17">
        <f>_xlfn.XLOOKUP(A5,Data!A4:A50,Data!E4:E50,"ID not available",0)</f>
        <v>15</v>
      </c>
    </row>
    <row r="6" spans="1:2" x14ac:dyDescent="0.3">
      <c r="A6" s="16" t="s">
        <v>29</v>
      </c>
      <c r="B6" s="17">
        <f>_xlfn.XLOOKUP(A6,Data!A5:A51,Data!E5:E51,"ID not available",0)</f>
        <v>12</v>
      </c>
    </row>
    <row r="7" spans="1:2" x14ac:dyDescent="0.3">
      <c r="A7" s="16" t="s">
        <v>31</v>
      </c>
      <c r="B7" s="17">
        <f>_xlfn.XLOOKUP(A7,Data!A6:A52,Data!E6:E52,"ID not available",0)</f>
        <v>12</v>
      </c>
    </row>
    <row r="8" spans="1:2" x14ac:dyDescent="0.3">
      <c r="A8" s="16" t="s">
        <v>33</v>
      </c>
      <c r="B8" s="17">
        <f>_xlfn.XLOOKUP(A8,Data!A7:A53,Data!E7:E53,"ID not available",0)</f>
        <v>11</v>
      </c>
    </row>
    <row r="9" spans="1:2" x14ac:dyDescent="0.3">
      <c r="A9" s="16" t="s">
        <v>35</v>
      </c>
      <c r="B9" s="17">
        <f>_xlfn.XLOOKUP(A9,Data!A8:A54,Data!E8:E54,"ID not available",0)</f>
        <v>12</v>
      </c>
    </row>
    <row r="10" spans="1:2" x14ac:dyDescent="0.3">
      <c r="A10" s="16" t="s">
        <v>124</v>
      </c>
      <c r="B10" s="17" t="str">
        <f>_xlfn.XLOOKUP(A10,Data!A9:A55,Data!E9:E55,"ID not available",0)</f>
        <v>ID not available</v>
      </c>
    </row>
    <row r="11" spans="1:2" x14ac:dyDescent="0.3">
      <c r="A11" s="16" t="s">
        <v>39</v>
      </c>
      <c r="B11" s="17">
        <f>_xlfn.XLOOKUP(A11,Data!A10:A56,Data!E10:E56,"ID not available",0)</f>
        <v>9</v>
      </c>
    </row>
    <row r="12" spans="1:2" x14ac:dyDescent="0.3">
      <c r="A12" s="16" t="s">
        <v>41</v>
      </c>
      <c r="B12" s="17">
        <f>_xlfn.XLOOKUP(A12,Data!A11:A57,Data!E11:E57,"ID not available",0)</f>
        <v>5</v>
      </c>
    </row>
    <row r="13" spans="1:2" x14ac:dyDescent="0.3">
      <c r="A13" s="16" t="s">
        <v>43</v>
      </c>
      <c r="B13" s="17">
        <f>_xlfn.XLOOKUP(A13,Data!A12:A58,Data!E12:E58,"ID not available",0)</f>
        <v>3</v>
      </c>
    </row>
    <row r="14" spans="1:2" x14ac:dyDescent="0.3">
      <c r="A14" s="16" t="s">
        <v>45</v>
      </c>
      <c r="B14" s="17">
        <f>_xlfn.XLOOKUP(A14,Data!A13:A59,Data!E13:E59,"ID not available",0)</f>
        <v>8</v>
      </c>
    </row>
    <row r="15" spans="1:2" x14ac:dyDescent="0.3">
      <c r="A15" s="16" t="s">
        <v>47</v>
      </c>
      <c r="B15" s="17">
        <f>_xlfn.XLOOKUP(A15,Data!A14:A60,Data!E14:E60,"ID not available",0)</f>
        <v>5</v>
      </c>
    </row>
    <row r="16" spans="1:2" x14ac:dyDescent="0.3">
      <c r="A16" s="16" t="s">
        <v>49</v>
      </c>
      <c r="B16" s="17">
        <f>_xlfn.XLOOKUP(A16,Data!A15:A61,Data!E15:E61,"ID not available",0)</f>
        <v>7</v>
      </c>
    </row>
    <row r="17" spans="1:2" x14ac:dyDescent="0.3">
      <c r="A17" s="16" t="s">
        <v>51</v>
      </c>
      <c r="B17" s="17">
        <f>_xlfn.XLOOKUP(A17,Data!A16:A62,Data!E16:E62,"ID not available",0)</f>
        <v>10</v>
      </c>
    </row>
    <row r="18" spans="1:2" x14ac:dyDescent="0.3">
      <c r="A18" s="16" t="s">
        <v>125</v>
      </c>
      <c r="B18" s="17" t="str">
        <f>_xlfn.XLOOKUP(A18,Data!A17:A63,Data!E17:E63,"ID not available",0)</f>
        <v>ID not available</v>
      </c>
    </row>
    <row r="19" spans="1:2" x14ac:dyDescent="0.3">
      <c r="A19" s="16" t="s">
        <v>55</v>
      </c>
      <c r="B19" s="17">
        <f>_xlfn.XLOOKUP(A19,Data!A18:A64,Data!E18:E64,"ID not available",0)</f>
        <v>7</v>
      </c>
    </row>
    <row r="20" spans="1:2" x14ac:dyDescent="0.3">
      <c r="A20" s="16" t="s">
        <v>57</v>
      </c>
      <c r="B20" s="17">
        <f>_xlfn.XLOOKUP(A20,Data!A19:A65,Data!E19:E65,"ID not available",0)</f>
        <v>8</v>
      </c>
    </row>
    <row r="21" spans="1:2" x14ac:dyDescent="0.3">
      <c r="A21" s="16" t="s">
        <v>59</v>
      </c>
      <c r="B21" s="17">
        <f>_xlfn.XLOOKUP(A21,Data!A20:A66,Data!E20:E66,"ID not available",0)</f>
        <v>5</v>
      </c>
    </row>
    <row r="22" spans="1:2" x14ac:dyDescent="0.3">
      <c r="A22" s="16" t="s">
        <v>61</v>
      </c>
      <c r="B22" s="17">
        <f>_xlfn.XLOOKUP(A22,Data!A21:A67,Data!E21:E67,"ID not available",0)</f>
        <v>4</v>
      </c>
    </row>
    <row r="23" spans="1:2" x14ac:dyDescent="0.3">
      <c r="A23" s="16" t="s">
        <v>63</v>
      </c>
      <c r="B23" s="17">
        <f>_xlfn.XLOOKUP(A23,Data!A22:A68,Data!E22:E68,"ID not available",0)</f>
        <v>6</v>
      </c>
    </row>
    <row r="24" spans="1:2" x14ac:dyDescent="0.3">
      <c r="A24" s="16" t="s">
        <v>65</v>
      </c>
      <c r="B24" s="17">
        <f>_xlfn.XLOOKUP(A24,Data!A23:A69,Data!E23:E69,"ID not available",0)</f>
        <v>3</v>
      </c>
    </row>
    <row r="25" spans="1:2" x14ac:dyDescent="0.3">
      <c r="A25" s="16" t="s">
        <v>67</v>
      </c>
      <c r="B25" s="17">
        <f>_xlfn.XLOOKUP(A25,Data!A24:A70,Data!E24:E70,"ID not available",0)</f>
        <v>2</v>
      </c>
    </row>
    <row r="26" spans="1:2" x14ac:dyDescent="0.3">
      <c r="A26" s="16" t="s">
        <v>69</v>
      </c>
      <c r="B26" s="17">
        <f>_xlfn.XLOOKUP(A26,Data!A25:A71,Data!E25:E71,"ID not available",0)</f>
        <v>4</v>
      </c>
    </row>
    <row r="27" spans="1:2" x14ac:dyDescent="0.3">
      <c r="A27" s="16" t="s">
        <v>71</v>
      </c>
      <c r="B27" s="17">
        <f>_xlfn.XLOOKUP(A27,Data!A26:A72,Data!E26:E72,"ID not available",0)</f>
        <v>9</v>
      </c>
    </row>
    <row r="28" spans="1:2" x14ac:dyDescent="0.3">
      <c r="A28" s="16" t="s">
        <v>73</v>
      </c>
      <c r="B28" s="17">
        <f>_xlfn.XLOOKUP(A28,Data!A27:A73,Data!E27:E73,"ID not available",0)</f>
        <v>7</v>
      </c>
    </row>
    <row r="29" spans="1:2" x14ac:dyDescent="0.3">
      <c r="A29" s="16" t="s">
        <v>75</v>
      </c>
      <c r="B29" s="17">
        <f>_xlfn.XLOOKUP(A29,Data!A28:A74,Data!E28:E74,"ID not available",0)</f>
        <v>5</v>
      </c>
    </row>
    <row r="30" spans="1:2" x14ac:dyDescent="0.3">
      <c r="A30" s="16" t="s">
        <v>77</v>
      </c>
      <c r="B30" s="17">
        <f>_xlfn.XLOOKUP(A30,Data!A29:A75,Data!E29:E75,"ID not available",0)</f>
        <v>8</v>
      </c>
    </row>
    <row r="31" spans="1:2" x14ac:dyDescent="0.3">
      <c r="A31" s="16" t="s">
        <v>79</v>
      </c>
      <c r="B31" s="17">
        <f>_xlfn.XLOOKUP(A31,Data!A30:A76,Data!E30:E76,"ID not available",0)</f>
        <v>6</v>
      </c>
    </row>
    <row r="32" spans="1:2" x14ac:dyDescent="0.3">
      <c r="A32" s="16" t="s">
        <v>81</v>
      </c>
      <c r="B32" s="17">
        <f>_xlfn.XLOOKUP(A32,Data!A31:A77,Data!E31:E77,"ID not available",0)</f>
        <v>9</v>
      </c>
    </row>
    <row r="33" spans="1:2" x14ac:dyDescent="0.3">
      <c r="A33" s="16" t="s">
        <v>83</v>
      </c>
      <c r="B33" s="17">
        <f>_xlfn.XLOOKUP(A33,Data!A32:A78,Data!E32:E78,"ID not available",0)</f>
        <v>4</v>
      </c>
    </row>
    <row r="34" spans="1:2" x14ac:dyDescent="0.3">
      <c r="A34" s="16" t="s">
        <v>85</v>
      </c>
      <c r="B34" s="17">
        <f>_xlfn.XLOOKUP(A34,Data!A33:A79,Data!E33:E79,"ID not available",0)</f>
        <v>3</v>
      </c>
    </row>
    <row r="35" spans="1:2" x14ac:dyDescent="0.3">
      <c r="A35" s="16" t="s">
        <v>87</v>
      </c>
      <c r="B35" s="17">
        <f>_xlfn.XLOOKUP(A35,Data!A34:A80,Data!E34:E80,"ID not available",0)</f>
        <v>5</v>
      </c>
    </row>
    <row r="36" spans="1:2" x14ac:dyDescent="0.3">
      <c r="A36" s="16" t="s">
        <v>89</v>
      </c>
      <c r="B36" s="17">
        <f>_xlfn.XLOOKUP(A36,Data!A35:A81,Data!E35:E81,"ID not available",0)</f>
        <v>4</v>
      </c>
    </row>
    <row r="37" spans="1:2" x14ac:dyDescent="0.3">
      <c r="A37" s="16" t="s">
        <v>91</v>
      </c>
      <c r="B37" s="17">
        <f>_xlfn.XLOOKUP(A37,Data!A36:A82,Data!E36:E82,"ID not available",0)</f>
        <v>3</v>
      </c>
    </row>
    <row r="38" spans="1:2" x14ac:dyDescent="0.3">
      <c r="A38" s="16" t="s">
        <v>93</v>
      </c>
      <c r="B38" s="17">
        <f>_xlfn.XLOOKUP(A38,Data!A37:A83,Data!E37:E83,"ID not available",0)</f>
        <v>2</v>
      </c>
    </row>
    <row r="39" spans="1:2" x14ac:dyDescent="0.3">
      <c r="A39" s="16" t="s">
        <v>95</v>
      </c>
      <c r="B39" s="17">
        <f>_xlfn.XLOOKUP(A39,Data!A38:A84,Data!E38:E84,"ID not available",0)</f>
        <v>4</v>
      </c>
    </row>
    <row r="40" spans="1:2" x14ac:dyDescent="0.3">
      <c r="A40" s="16" t="s">
        <v>97</v>
      </c>
      <c r="B40" s="17">
        <f>_xlfn.XLOOKUP(A40,Data!A39:A85,Data!E39:E85,"ID not available",0)</f>
        <v>9</v>
      </c>
    </row>
    <row r="41" spans="1:2" x14ac:dyDescent="0.3">
      <c r="A41" s="16" t="s">
        <v>99</v>
      </c>
      <c r="B41" s="17">
        <f>_xlfn.XLOOKUP(A41,Data!A40:A86,Data!E40:E86,"ID not available",0)</f>
        <v>6</v>
      </c>
    </row>
    <row r="42" spans="1:2" x14ac:dyDescent="0.3">
      <c r="A42" s="16" t="s">
        <v>101</v>
      </c>
      <c r="B42" s="17">
        <f>_xlfn.XLOOKUP(A42,Data!A41:A87,Data!E41:E87,"ID not available",0)</f>
        <v>4</v>
      </c>
    </row>
    <row r="43" spans="1:2" x14ac:dyDescent="0.3">
      <c r="A43" s="16" t="s">
        <v>103</v>
      </c>
      <c r="B43" s="17">
        <f>_xlfn.XLOOKUP(A43,Data!A42:A88,Data!E42:E88,"ID not available",0)</f>
        <v>3</v>
      </c>
    </row>
    <row r="44" spans="1:2" x14ac:dyDescent="0.3">
      <c r="A44" s="16" t="s">
        <v>105</v>
      </c>
      <c r="B44" s="17">
        <f>_xlfn.XLOOKUP(A44,Data!A43:A89,Data!E43:E89,"ID not available",0)</f>
        <v>4</v>
      </c>
    </row>
    <row r="45" spans="1:2" x14ac:dyDescent="0.3">
      <c r="A45" s="16" t="s">
        <v>107</v>
      </c>
      <c r="B45" s="17">
        <f>_xlfn.XLOOKUP(A45,Data!A44:A90,Data!E44:E90,"ID not available",0)</f>
        <v>5</v>
      </c>
    </row>
    <row r="46" spans="1:2" x14ac:dyDescent="0.3">
      <c r="A46" s="16" t="s">
        <v>109</v>
      </c>
      <c r="B46" s="17">
        <f>_xlfn.XLOOKUP(A46,Data!A45:A91,Data!E45:E91,"ID not available",0)</f>
        <v>7</v>
      </c>
    </row>
    <row r="47" spans="1:2" x14ac:dyDescent="0.3">
      <c r="A47" s="16" t="s">
        <v>111</v>
      </c>
      <c r="B47" s="17">
        <f>_xlfn.XLOOKUP(A47,Data!A46:A92,Data!E46:E92,"ID not available",0)</f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5B6F-1D4C-4D55-8114-A9FF74C5B136}">
  <sheetPr>
    <tabColor theme="5"/>
  </sheetPr>
  <dimension ref="A1:B4"/>
  <sheetViews>
    <sheetView tabSelected="1" workbookViewId="0">
      <selection activeCell="B2" sqref="A1:B4"/>
    </sheetView>
  </sheetViews>
  <sheetFormatPr defaultRowHeight="14.4" x14ac:dyDescent="0.3"/>
  <cols>
    <col min="1" max="1" width="17" customWidth="1"/>
    <col min="2" max="2" width="16.77734375" customWidth="1"/>
    <col min="3" max="3" width="17.5546875" customWidth="1"/>
    <col min="4" max="5" width="13.44140625" customWidth="1"/>
  </cols>
  <sheetData>
    <row r="1" spans="1:2" x14ac:dyDescent="0.3">
      <c r="A1" s="18" t="s">
        <v>1</v>
      </c>
      <c r="B1" s="18" t="s">
        <v>122</v>
      </c>
    </row>
    <row r="2" spans="1:2" x14ac:dyDescent="0.3">
      <c r="A2" s="19" t="s">
        <v>116</v>
      </c>
      <c r="B2" s="19"/>
    </row>
    <row r="3" spans="1:2" x14ac:dyDescent="0.3">
      <c r="A3" s="19" t="s">
        <v>118</v>
      </c>
      <c r="B3" s="19"/>
    </row>
    <row r="4" spans="1:2" x14ac:dyDescent="0.3">
      <c r="A4" s="19" t="s">
        <v>120</v>
      </c>
      <c r="B4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F860-C8F8-4628-BFE7-A9D7B876D011}">
  <dimension ref="A1:B4"/>
  <sheetViews>
    <sheetView workbookViewId="0">
      <selection activeCell="A15" sqref="A15"/>
    </sheetView>
  </sheetViews>
  <sheetFormatPr defaultRowHeight="14.4" x14ac:dyDescent="0.3"/>
  <cols>
    <col min="1" max="1" width="17.5546875" customWidth="1"/>
    <col min="2" max="2" width="20" customWidth="1"/>
  </cols>
  <sheetData>
    <row r="1" spans="1:2" x14ac:dyDescent="0.3">
      <c r="A1" s="18" t="s">
        <v>115</v>
      </c>
      <c r="B1" s="18" t="s">
        <v>122</v>
      </c>
    </row>
    <row r="2" spans="1:2" x14ac:dyDescent="0.3">
      <c r="A2" s="19" t="s">
        <v>117</v>
      </c>
      <c r="B2" s="19">
        <v>4000</v>
      </c>
    </row>
    <row r="3" spans="1:2" x14ac:dyDescent="0.3">
      <c r="A3" s="19" t="s">
        <v>119</v>
      </c>
      <c r="B3" s="19">
        <v>5000</v>
      </c>
    </row>
    <row r="4" spans="1:2" x14ac:dyDescent="0.3">
      <c r="A4" s="19" t="s">
        <v>121</v>
      </c>
      <c r="B4" s="19">
        <v>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D555-711C-403D-9685-24019B15161C}">
  <dimension ref="A1:B4"/>
  <sheetViews>
    <sheetView workbookViewId="0">
      <selection activeCell="A2" sqref="A2:A4"/>
    </sheetView>
  </sheetViews>
  <sheetFormatPr defaultRowHeight="14.4" x14ac:dyDescent="0.3"/>
  <cols>
    <col min="1" max="1" width="20.6640625" customWidth="1"/>
    <col min="2" max="2" width="18.88671875" customWidth="1"/>
  </cols>
  <sheetData>
    <row r="1" spans="1:2" ht="28.8" x14ac:dyDescent="0.3">
      <c r="A1" s="18" t="s">
        <v>114</v>
      </c>
      <c r="B1" s="18" t="s">
        <v>115</v>
      </c>
    </row>
    <row r="2" spans="1:2" x14ac:dyDescent="0.3">
      <c r="A2" s="19" t="s">
        <v>116</v>
      </c>
      <c r="B2" s="19" t="s">
        <v>117</v>
      </c>
    </row>
    <row r="3" spans="1:2" x14ac:dyDescent="0.3">
      <c r="A3" s="19" t="s">
        <v>118</v>
      </c>
      <c r="B3" s="19" t="s">
        <v>119</v>
      </c>
    </row>
    <row r="4" spans="1:2" x14ac:dyDescent="0.3">
      <c r="A4" s="19" t="s">
        <v>120</v>
      </c>
      <c r="B4" s="19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Rank</vt:lpstr>
      <vt:lpstr>Vlookup</vt:lpstr>
      <vt:lpstr>Hlook</vt:lpstr>
      <vt:lpstr>xlookup</vt:lpstr>
      <vt:lpstr>Data</vt:lpstr>
      <vt:lpstr>Data View</vt:lpstr>
      <vt:lpstr>Nested Vlookup</vt:lpstr>
      <vt:lpstr>Salary Sheet</vt:lpstr>
      <vt:lpstr>Employee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Ahmed</dc:creator>
  <cp:lastModifiedBy>Athar Ahmed</cp:lastModifiedBy>
  <dcterms:created xsi:type="dcterms:W3CDTF">2025-08-26T10:32:27Z</dcterms:created>
  <dcterms:modified xsi:type="dcterms:W3CDTF">2026-01-24T17:33:12Z</dcterms:modified>
</cp:coreProperties>
</file>