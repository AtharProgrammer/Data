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Excel\Session1\"/>
    </mc:Choice>
  </mc:AlternateContent>
  <xr:revisionPtr revIDLastSave="0" documentId="13_ncr:1_{F1830A7F-2280-4EA0-AEB8-C92D6464844A}" xr6:coauthVersionLast="47" xr6:coauthVersionMax="47" xr10:uidLastSave="{00000000-0000-0000-0000-000000000000}"/>
  <bookViews>
    <workbookView xWindow="-108" yWindow="-108" windowWidth="23256" windowHeight="12456" activeTab="2" xr2:uid="{56C340AE-A9CC-476D-B823-372C925C117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  <c r="A17" i="1"/>
  <c r="O3" i="1"/>
  <c r="O4" i="1"/>
  <c r="O5" i="1"/>
  <c r="O6" i="1"/>
  <c r="O7" i="1"/>
  <c r="O8" i="1"/>
  <c r="O9" i="1"/>
  <c r="O10" i="1"/>
  <c r="O2" i="1"/>
  <c r="N2" i="1" a="1"/>
  <c r="N2" i="1" s="1"/>
  <c r="L3" i="1"/>
  <c r="L4" i="1"/>
  <c r="L5" i="1"/>
  <c r="L6" i="1"/>
  <c r="L7" i="1"/>
  <c r="L8" i="1"/>
  <c r="L9" i="1"/>
  <c r="L10" i="1"/>
  <c r="L2" i="1"/>
  <c r="K3" i="1"/>
  <c r="K4" i="1"/>
  <c r="M4" i="1" s="1"/>
  <c r="K5" i="1"/>
  <c r="K6" i="1"/>
  <c r="K7" i="1"/>
  <c r="K8" i="1"/>
  <c r="K9" i="1"/>
  <c r="K10" i="1"/>
  <c r="K2" i="1"/>
  <c r="J3" i="1"/>
  <c r="M3" i="1" s="1"/>
  <c r="J4" i="1"/>
  <c r="J5" i="1"/>
  <c r="J6" i="1"/>
  <c r="M6" i="1" s="1"/>
  <c r="J7" i="1"/>
  <c r="M7" i="1" s="1"/>
  <c r="J8" i="1"/>
  <c r="J9" i="1"/>
  <c r="M9" i="1" s="1"/>
  <c r="J10" i="1"/>
  <c r="M10" i="1" s="1"/>
  <c r="J2" i="1"/>
  <c r="F16" i="1"/>
  <c r="I3" i="1"/>
  <c r="I4" i="1"/>
  <c r="I5" i="1"/>
  <c r="I6" i="1"/>
  <c r="I7" i="1"/>
  <c r="I8" i="1"/>
  <c r="I9" i="1"/>
  <c r="I10" i="1"/>
  <c r="I2" i="1"/>
  <c r="F14" i="1"/>
  <c r="E14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D16" i="1"/>
  <c r="C16" i="1"/>
  <c r="B16" i="1"/>
  <c r="B15" i="1"/>
  <c r="C14" i="1"/>
  <c r="C13" i="1"/>
  <c r="F12" i="1"/>
  <c r="E12" i="1"/>
  <c r="D12" i="1"/>
  <c r="C12" i="1"/>
  <c r="F11" i="1"/>
  <c r="E11" i="1"/>
  <c r="D11" i="1"/>
  <c r="C11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M2" i="1" l="1"/>
  <c r="M8" i="1"/>
  <c r="M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<sst xmlns="http://schemas.openxmlformats.org/spreadsheetml/2006/main" count="79" uniqueCount="34">
  <si>
    <t>Commission</t>
  </si>
  <si>
    <t>Final Salary</t>
  </si>
  <si>
    <t>Employee Name</t>
  </si>
  <si>
    <t>Employee Salary</t>
  </si>
  <si>
    <t>Tax</t>
  </si>
  <si>
    <t>Months</t>
  </si>
  <si>
    <t>January</t>
  </si>
  <si>
    <t>March</t>
  </si>
  <si>
    <t>May</t>
  </si>
  <si>
    <t>February</t>
  </si>
  <si>
    <t>MANISH</t>
  </si>
  <si>
    <t>ALOK</t>
  </si>
  <si>
    <t>SAHIL</t>
  </si>
  <si>
    <t>GANESH</t>
  </si>
  <si>
    <t>SURESH</t>
  </si>
  <si>
    <t>AMIT</t>
  </si>
  <si>
    <t>April</t>
  </si>
  <si>
    <t>June</t>
  </si>
  <si>
    <t>July</t>
  </si>
  <si>
    <t>September</t>
  </si>
  <si>
    <t>Total Salary</t>
  </si>
  <si>
    <t xml:space="preserve">Average </t>
  </si>
  <si>
    <t>Max</t>
  </si>
  <si>
    <t>Min</t>
  </si>
  <si>
    <t>Count</t>
  </si>
  <si>
    <t>&gt;12000</t>
  </si>
  <si>
    <t>IF Test</t>
  </si>
  <si>
    <t>Conditional Commission</t>
  </si>
  <si>
    <t>LEFT</t>
  </si>
  <si>
    <t>RIGHT</t>
  </si>
  <si>
    <t>MID</t>
  </si>
  <si>
    <t>Code</t>
  </si>
  <si>
    <t>MA N IS H</t>
  </si>
  <si>
    <t>GA N ES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</si>
</sst>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FB6C60-973C-4C2A-A4DC-B7FF4A4882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9186-33F5-4B8D-BE7E-B0DC5A81129C}">
  <dimension ref="A1:O19"/>
  <sheetViews>
    <sheetView zoomScale="150" zoomScaleNormal="150" workbookViewId="0">
      <selection activeCell="G9" sqref="G9"/>
    </sheetView>
  </sheetViews>
  <sheetFormatPr defaultRowHeight="14.4" x14ac:dyDescent="0.3"/>
  <cols>
    <col min="1" max="1" width="13.77734375" style="1" customWidth="1"/>
    <col min="2" max="2" width="12.44140625" style="1" customWidth="1"/>
    <col min="3" max="3" width="13.88671875" style="1" customWidth="1"/>
    <col min="4" max="4" width="11" style="1" customWidth="1"/>
    <col min="5" max="5" width="9.21875" style="1" customWidth="1"/>
    <col min="6" max="6" width="13.5546875" style="1" customWidth="1"/>
    <col min="7" max="7" width="14.6640625" style="1" customWidth="1"/>
    <col min="8" max="8" width="9.33203125" style="1" customWidth="1"/>
    <col min="9" max="9" width="19.33203125" style="1" customWidth="1"/>
    <col min="10" max="10" width="5.6640625" style="1" customWidth="1"/>
    <col min="11" max="11" width="5.109375" style="1" customWidth="1"/>
    <col min="12" max="12" width="4.88671875" style="1" customWidth="1"/>
    <col min="13" max="13" width="9.6640625" style="1" customWidth="1"/>
    <col min="14" max="14" width="8.88671875" style="1"/>
    <col min="15" max="15" width="10.33203125" style="1" customWidth="1"/>
    <col min="16" max="16384" width="8.88671875" style="1"/>
  </cols>
  <sheetData>
    <row r="1" spans="1:15" ht="11.4" customHeight="1" x14ac:dyDescent="0.3">
      <c r="A1" s="5" t="s">
        <v>2</v>
      </c>
      <c r="B1" s="5" t="s">
        <v>5</v>
      </c>
      <c r="C1" s="5" t="s">
        <v>3</v>
      </c>
      <c r="D1" s="5" t="s">
        <v>0</v>
      </c>
      <c r="E1" s="5" t="s">
        <v>4</v>
      </c>
      <c r="F1" s="5" t="s">
        <v>1</v>
      </c>
      <c r="G1" s="5" t="s">
        <v>26</v>
      </c>
      <c r="H1"/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</row>
    <row r="2" spans="1:15" x14ac:dyDescent="0.3">
      <c r="A2" s="2" t="s">
        <v>32</v>
      </c>
      <c r="B2" s="2" t="s">
        <v>6</v>
      </c>
      <c r="C2" s="2">
        <v>80000</v>
      </c>
      <c r="D2" s="2">
        <f>C2*3%</f>
        <v>2400</v>
      </c>
      <c r="E2" s="2">
        <f>C2*5%</f>
        <v>4000</v>
      </c>
      <c r="F2" s="2">
        <f>C2+D2-E2</f>
        <v>78400</v>
      </c>
      <c r="G2" s="4" t="str">
        <f>IF(F2&gt;=15000,"Good Salary","Average Salary")</f>
        <v>Good Salary</v>
      </c>
      <c r="H2" t="str">
        <f>IF(D2&lt;500,"Very Less","Good")</f>
        <v>Good</v>
      </c>
      <c r="I2">
        <f>IF(C2&gt;=12000,C2*3%,C2*2%)</f>
        <v>2400</v>
      </c>
      <c r="J2" t="str">
        <f>LEFT(A2,2)</f>
        <v>MA</v>
      </c>
      <c r="K2" t="str">
        <f>RIGHT(A2,2)</f>
        <v xml:space="preserve"> H</v>
      </c>
      <c r="L2" t="str">
        <f>MID(A2,2,2)</f>
        <v xml:space="preserve">A </v>
      </c>
      <c r="M2" t="str">
        <f>_xlfn.CONCAT(J2:L2)</f>
        <v xml:space="preserve">MA HA </v>
      </c>
      <c r="N2" s="4" t="str" cm="1">
        <f t="array" ref="N2:N10">TRIM(A2:A10)</f>
        <v>MA N IS H</v>
      </c>
      <c r="O2" s="4" t="str">
        <f>SUBSTITUTE(A2," ","")</f>
        <v>MANISH</v>
      </c>
    </row>
    <row r="3" spans="1:15" x14ac:dyDescent="0.3">
      <c r="A3" s="2" t="s">
        <v>11</v>
      </c>
      <c r="B3" s="2" t="s">
        <v>9</v>
      </c>
      <c r="C3" s="2">
        <v>10000</v>
      </c>
      <c r="D3" s="2">
        <f t="shared" ref="D3:D10" si="0">C3*3%</f>
        <v>300</v>
      </c>
      <c r="E3" s="2">
        <f t="shared" ref="E3:E10" si="1">C3*5%</f>
        <v>500</v>
      </c>
      <c r="F3" s="2">
        <f t="shared" ref="F3:F10" si="2">C3+D3-E3</f>
        <v>9800</v>
      </c>
      <c r="G3" s="4" t="str">
        <f t="shared" ref="G3:G10" si="3">IF(F3&gt;=15000,"Good Salary","Average Salary")</f>
        <v>Average Salary</v>
      </c>
      <c r="H3" t="str">
        <f t="shared" ref="H3:H10" si="4">IF(D3&lt;500,"Very Less","Good")</f>
        <v>Very Less</v>
      </c>
      <c r="I3">
        <f t="shared" ref="I3:I10" si="5">IF(C3&gt;=12000,C3*3%,C3*2%)</f>
        <v>200</v>
      </c>
      <c r="J3" t="str">
        <f t="shared" ref="J3:J10" si="6">LEFT(A3,2)</f>
        <v>AL</v>
      </c>
      <c r="K3" t="str">
        <f t="shared" ref="K3:K10" si="7">RIGHT(A3,2)</f>
        <v>OK</v>
      </c>
      <c r="L3" t="str">
        <f t="shared" ref="L3:L10" si="8">MID(A3,2,2)</f>
        <v>LO</v>
      </c>
      <c r="M3" t="str">
        <f t="shared" ref="M3:M10" si="9">_xlfn.CONCAT(J3:L3)</f>
        <v>ALOKLO</v>
      </c>
      <c r="N3" s="4" t="str">
        <v>ALOK</v>
      </c>
      <c r="O3" s="4" t="str">
        <f t="shared" ref="O3:O10" si="10">SUBSTITUTE(A3," ","")</f>
        <v>ALOK</v>
      </c>
    </row>
    <row r="4" spans="1:15" x14ac:dyDescent="0.3">
      <c r="A4" s="2" t="s">
        <v>10</v>
      </c>
      <c r="B4" s="2" t="s">
        <v>7</v>
      </c>
      <c r="C4" s="2">
        <v>10000</v>
      </c>
      <c r="D4" s="2">
        <f t="shared" si="0"/>
        <v>300</v>
      </c>
      <c r="E4" s="2">
        <f t="shared" si="1"/>
        <v>500</v>
      </c>
      <c r="F4" s="2">
        <f t="shared" si="2"/>
        <v>9800</v>
      </c>
      <c r="G4" s="4" t="str">
        <f t="shared" si="3"/>
        <v>Average Salary</v>
      </c>
      <c r="H4" t="str">
        <f t="shared" si="4"/>
        <v>Very Less</v>
      </c>
      <c r="I4">
        <f t="shared" si="5"/>
        <v>200</v>
      </c>
      <c r="J4" t="str">
        <f t="shared" si="6"/>
        <v>MA</v>
      </c>
      <c r="K4" t="str">
        <f t="shared" si="7"/>
        <v>SH</v>
      </c>
      <c r="L4" t="str">
        <f t="shared" si="8"/>
        <v>AN</v>
      </c>
      <c r="M4" t="str">
        <f t="shared" si="9"/>
        <v>MASHAN</v>
      </c>
      <c r="N4" s="4" t="str">
        <v>MANISH</v>
      </c>
      <c r="O4" s="4" t="str">
        <f t="shared" si="10"/>
        <v>MANISH</v>
      </c>
    </row>
    <row r="5" spans="1:15" x14ac:dyDescent="0.3">
      <c r="A5" s="2" t="s">
        <v>12</v>
      </c>
      <c r="B5" s="2" t="s">
        <v>16</v>
      </c>
      <c r="C5" s="2">
        <v>11000</v>
      </c>
      <c r="D5" s="2">
        <f t="shared" si="0"/>
        <v>330</v>
      </c>
      <c r="E5" s="2">
        <f t="shared" si="1"/>
        <v>550</v>
      </c>
      <c r="F5" s="2">
        <f t="shared" si="2"/>
        <v>10780</v>
      </c>
      <c r="G5" s="4" t="str">
        <f t="shared" si="3"/>
        <v>Average Salary</v>
      </c>
      <c r="H5" t="str">
        <f t="shared" si="4"/>
        <v>Very Less</v>
      </c>
      <c r="I5">
        <f t="shared" si="5"/>
        <v>220</v>
      </c>
      <c r="J5" t="str">
        <f t="shared" si="6"/>
        <v>SA</v>
      </c>
      <c r="K5" t="str">
        <f t="shared" si="7"/>
        <v>IL</v>
      </c>
      <c r="L5" t="str">
        <f t="shared" si="8"/>
        <v>AH</v>
      </c>
      <c r="M5" t="str">
        <f t="shared" si="9"/>
        <v>SAILAH</v>
      </c>
      <c r="N5" s="4" t="str">
        <v>SAHIL</v>
      </c>
      <c r="O5" s="4" t="str">
        <f t="shared" si="10"/>
        <v>SAHIL</v>
      </c>
    </row>
    <row r="6" spans="1:15" x14ac:dyDescent="0.3">
      <c r="A6" s="2" t="s">
        <v>33</v>
      </c>
      <c r="B6" s="2" t="s">
        <v>8</v>
      </c>
      <c r="C6" s="2">
        <v>12000</v>
      </c>
      <c r="D6" s="2">
        <f t="shared" si="0"/>
        <v>360</v>
      </c>
      <c r="E6" s="2">
        <f t="shared" si="1"/>
        <v>600</v>
      </c>
      <c r="F6" s="2">
        <f t="shared" si="2"/>
        <v>11760</v>
      </c>
      <c r="G6" s="4" t="str">
        <f t="shared" si="3"/>
        <v>Average Salary</v>
      </c>
      <c r="H6" t="str">
        <f t="shared" si="4"/>
        <v>Very Less</v>
      </c>
      <c r="I6">
        <f t="shared" si="5"/>
        <v>360</v>
      </c>
      <c r="J6" t="str">
        <f t="shared" si="6"/>
        <v>GA</v>
      </c>
      <c r="K6" t="str">
        <f t="shared" si="7"/>
        <v xml:space="preserve"> H</v>
      </c>
      <c r="L6" t="str">
        <f t="shared" si="8"/>
        <v xml:space="preserve">A </v>
      </c>
      <c r="M6" t="str">
        <f t="shared" si="9"/>
        <v xml:space="preserve">GA HA </v>
      </c>
      <c r="N6" s="4" t="str">
        <v>GA N ES H</v>
      </c>
      <c r="O6" s="4" t="str">
        <f t="shared" si="10"/>
        <v>GANESH</v>
      </c>
    </row>
    <row r="7" spans="1:15" x14ac:dyDescent="0.3">
      <c r="A7" s="2" t="s">
        <v>10</v>
      </c>
      <c r="B7" s="2" t="s">
        <v>17</v>
      </c>
      <c r="C7" s="2">
        <v>13000</v>
      </c>
      <c r="D7" s="2">
        <f t="shared" si="0"/>
        <v>390</v>
      </c>
      <c r="E7" s="2">
        <f t="shared" si="1"/>
        <v>650</v>
      </c>
      <c r="F7" s="2">
        <f t="shared" si="2"/>
        <v>12740</v>
      </c>
      <c r="G7" s="4" t="str">
        <f t="shared" si="3"/>
        <v>Average Salary</v>
      </c>
      <c r="H7" t="str">
        <f t="shared" si="4"/>
        <v>Very Less</v>
      </c>
      <c r="I7">
        <f t="shared" si="5"/>
        <v>390</v>
      </c>
      <c r="J7" t="str">
        <f t="shared" si="6"/>
        <v>MA</v>
      </c>
      <c r="K7" t="str">
        <f t="shared" si="7"/>
        <v>SH</v>
      </c>
      <c r="L7" t="str">
        <f t="shared" si="8"/>
        <v>AN</v>
      </c>
      <c r="M7" t="str">
        <f t="shared" si="9"/>
        <v>MASHAN</v>
      </c>
      <c r="N7" s="4" t="str">
        <v>MANISH</v>
      </c>
      <c r="O7" s="4" t="str">
        <f t="shared" si="10"/>
        <v>MANISH</v>
      </c>
    </row>
    <row r="8" spans="1:15" x14ac:dyDescent="0.3">
      <c r="A8" s="2" t="s">
        <v>14</v>
      </c>
      <c r="B8" s="2" t="s">
        <v>18</v>
      </c>
      <c r="C8" s="2">
        <v>14000</v>
      </c>
      <c r="D8" s="2">
        <f t="shared" si="0"/>
        <v>420</v>
      </c>
      <c r="E8" s="2">
        <f t="shared" si="1"/>
        <v>700</v>
      </c>
      <c r="F8" s="2">
        <f t="shared" si="2"/>
        <v>13720</v>
      </c>
      <c r="G8" s="4" t="str">
        <f t="shared" si="3"/>
        <v>Average Salary</v>
      </c>
      <c r="H8" t="str">
        <f t="shared" si="4"/>
        <v>Very Less</v>
      </c>
      <c r="I8">
        <f t="shared" si="5"/>
        <v>420</v>
      </c>
      <c r="J8" t="str">
        <f t="shared" si="6"/>
        <v>SU</v>
      </c>
      <c r="K8" t="str">
        <f t="shared" si="7"/>
        <v>SH</v>
      </c>
      <c r="L8" t="str">
        <f t="shared" si="8"/>
        <v>UR</v>
      </c>
      <c r="M8" t="str">
        <f t="shared" si="9"/>
        <v>SUSHUR</v>
      </c>
      <c r="N8" s="4" t="str">
        <v>SURESH</v>
      </c>
      <c r="O8" s="4" t="str">
        <f t="shared" si="10"/>
        <v>SURESH</v>
      </c>
    </row>
    <row r="9" spans="1:15" x14ac:dyDescent="0.3">
      <c r="A9" s="2" t="s">
        <v>15</v>
      </c>
      <c r="B9" s="2" t="s">
        <v>6</v>
      </c>
      <c r="C9" s="2">
        <v>15000</v>
      </c>
      <c r="D9" s="2">
        <f t="shared" si="0"/>
        <v>450</v>
      </c>
      <c r="E9" s="2">
        <f t="shared" si="1"/>
        <v>750</v>
      </c>
      <c r="F9" s="2">
        <f t="shared" si="2"/>
        <v>14700</v>
      </c>
      <c r="G9" s="4" t="str">
        <f t="shared" si="3"/>
        <v>Average Salary</v>
      </c>
      <c r="H9" t="str">
        <f t="shared" si="4"/>
        <v>Very Less</v>
      </c>
      <c r="I9">
        <f t="shared" si="5"/>
        <v>450</v>
      </c>
      <c r="J9" t="str">
        <f t="shared" si="6"/>
        <v>AM</v>
      </c>
      <c r="K9" t="str">
        <f t="shared" si="7"/>
        <v>IT</v>
      </c>
      <c r="L9" t="str">
        <f t="shared" si="8"/>
        <v>MI</v>
      </c>
      <c r="M9" t="str">
        <f t="shared" si="9"/>
        <v>AMITMI</v>
      </c>
      <c r="N9" s="4" t="str">
        <v>AMIT</v>
      </c>
      <c r="O9" s="4" t="str">
        <f t="shared" si="10"/>
        <v>AMIT</v>
      </c>
    </row>
    <row r="10" spans="1:15" x14ac:dyDescent="0.3">
      <c r="A10" s="2" t="s">
        <v>13</v>
      </c>
      <c r="B10" s="2" t="s">
        <v>19</v>
      </c>
      <c r="C10" s="2">
        <v>16000</v>
      </c>
      <c r="D10" s="2">
        <f t="shared" si="0"/>
        <v>480</v>
      </c>
      <c r="E10" s="2">
        <f t="shared" si="1"/>
        <v>800</v>
      </c>
      <c r="F10" s="2">
        <f t="shared" si="2"/>
        <v>15680</v>
      </c>
      <c r="G10" s="4" t="str">
        <f t="shared" si="3"/>
        <v>Good Salary</v>
      </c>
      <c r="H10" t="str">
        <f t="shared" si="4"/>
        <v>Very Less</v>
      </c>
      <c r="I10">
        <f t="shared" si="5"/>
        <v>480</v>
      </c>
      <c r="J10" t="str">
        <f t="shared" si="6"/>
        <v>GA</v>
      </c>
      <c r="K10" t="str">
        <f t="shared" si="7"/>
        <v>SH</v>
      </c>
      <c r="L10" t="str">
        <f t="shared" si="8"/>
        <v>AN</v>
      </c>
      <c r="M10" t="str">
        <f t="shared" si="9"/>
        <v>GASHAN</v>
      </c>
      <c r="N10" s="4" t="str">
        <v>GANESH</v>
      </c>
      <c r="O10" s="4" t="str">
        <f t="shared" si="10"/>
        <v>GANESH</v>
      </c>
    </row>
    <row r="11" spans="1:15" x14ac:dyDescent="0.3">
      <c r="A11" s="6" t="s">
        <v>20</v>
      </c>
      <c r="B11" s="6"/>
      <c r="C11">
        <f>SUM(C2:C10)</f>
        <v>181000</v>
      </c>
      <c r="D11" s="2">
        <f>SUM(D2:D10)</f>
        <v>5430</v>
      </c>
      <c r="E11" s="2">
        <f>SUM(E2:E10)</f>
        <v>9050</v>
      </c>
      <c r="F11" s="4">
        <f>SUM(F2:F10)</f>
        <v>177380</v>
      </c>
      <c r="G11" s="4"/>
      <c r="H11" s="4"/>
      <c r="I11" s="4"/>
      <c r="J11" s="4"/>
      <c r="K11" s="4"/>
      <c r="L11" s="4"/>
    </row>
    <row r="12" spans="1:15" x14ac:dyDescent="0.3">
      <c r="A12" s="6" t="s">
        <v>21</v>
      </c>
      <c r="B12" s="6"/>
      <c r="C12">
        <f>AVERAGE(C2:C10)</f>
        <v>20111.111111111109</v>
      </c>
      <c r="D12" s="2">
        <f>AVERAGE(D2:D10)</f>
        <v>603.33333333333337</v>
      </c>
      <c r="E12" s="2">
        <f>AVERAGE(E2:E10)</f>
        <v>1005.5555555555555</v>
      </c>
      <c r="F12" s="4">
        <f>AVERAGE(F2:F10)</f>
        <v>19708.888888888891</v>
      </c>
      <c r="G12" s="4"/>
      <c r="H12" s="4"/>
      <c r="I12" s="4"/>
      <c r="J12" s="4"/>
      <c r="K12" s="4"/>
      <c r="L12" s="4"/>
    </row>
    <row r="13" spans="1:15" x14ac:dyDescent="0.3">
      <c r="A13"/>
      <c r="B13" s="2" t="s">
        <v>22</v>
      </c>
      <c r="C13">
        <f>MAX(C2:C10)</f>
        <v>80000</v>
      </c>
      <c r="D13"/>
      <c r="E13"/>
      <c r="F13" s="4"/>
      <c r="G13" s="4"/>
      <c r="H13" s="4"/>
      <c r="I13" s="4"/>
      <c r="J13" s="4"/>
      <c r="K13" s="4"/>
      <c r="L13" s="4"/>
    </row>
    <row r="14" spans="1:15" x14ac:dyDescent="0.3">
      <c r="A14"/>
      <c r="B14" s="2" t="s">
        <v>23</v>
      </c>
      <c r="C14">
        <f>MIN(C2:C10)</f>
        <v>10000</v>
      </c>
      <c r="D14"/>
      <c r="E14">
        <f>COUNTIF(C2:C10,"&gt;12000")</f>
        <v>5</v>
      </c>
      <c r="F14" s="4">
        <f>COUNTIFS(E2:E10,"&gt;=500",C2:C10,"&gt;=12000",B2:B10,"January")</f>
        <v>2</v>
      </c>
      <c r="G14" s="4"/>
      <c r="H14" s="4"/>
      <c r="I14" s="4"/>
      <c r="J14" s="4"/>
      <c r="K14" s="4"/>
      <c r="L14" s="4"/>
    </row>
    <row r="15" spans="1:15" x14ac:dyDescent="0.3">
      <c r="A15" t="s">
        <v>24</v>
      </c>
      <c r="B15">
        <f>COUNT(C2:C10)</f>
        <v>9</v>
      </c>
      <c r="C15"/>
      <c r="D15"/>
      <c r="E15"/>
      <c r="F15" s="4"/>
      <c r="G15" s="4"/>
      <c r="H15" s="4"/>
      <c r="I15" s="4"/>
      <c r="J15" s="4"/>
      <c r="K15" s="4"/>
      <c r="L15" s="4"/>
    </row>
    <row r="16" spans="1:15" x14ac:dyDescent="0.3">
      <c r="A16" t="s">
        <v>25</v>
      </c>
      <c r="B16">
        <f>SUMIF(C2:C10,"&gt;12000")</f>
        <v>138000</v>
      </c>
      <c r="C16">
        <f>SUMIFS(F2:F10,C2:C10,"&gt;12000",B2:B10,"January")</f>
        <v>93100</v>
      </c>
      <c r="D16">
        <f>SUMIFS(E2:E10,B2:B10,"March",E2:E10,"&gt;=500")</f>
        <v>500</v>
      </c>
      <c r="E16"/>
      <c r="F16" s="4">
        <f>COUNTIFS(I2:I10,"&gt;250",C2:C10,"&gt;12000",B2:B10,"January")</f>
        <v>2</v>
      </c>
      <c r="G16" s="4"/>
      <c r="H16" s="4"/>
      <c r="I16" s="4"/>
      <c r="J16" s="4"/>
      <c r="K16" s="4"/>
      <c r="L16" s="4"/>
    </row>
    <row r="17" spans="1:12" x14ac:dyDescent="0.3">
      <c r="A17">
        <f>COUNTA(A2:A10)</f>
        <v>9</v>
      </c>
      <c r="B17"/>
      <c r="C17"/>
      <c r="D17"/>
      <c r="E17"/>
      <c r="F17" s="4"/>
      <c r="G17" s="4"/>
      <c r="H17" s="4"/>
      <c r="I17" s="4"/>
      <c r="J17" s="4"/>
      <c r="K17" s="4"/>
      <c r="L17" s="4"/>
    </row>
    <row r="18" spans="1:12" x14ac:dyDescent="0.3">
      <c r="A18"/>
      <c r="B18"/>
      <c r="C18"/>
      <c r="D18"/>
      <c r="E18"/>
    </row>
    <row r="19" spans="1:12" x14ac:dyDescent="0.3">
      <c r="D19" s="3"/>
    </row>
  </sheetData>
  <mergeCells count="2">
    <mergeCell ref="A11:B11"/>
    <mergeCell ref="A12:B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3BC2-3C85-4277-9770-1D59F1C39420}">
  <dimension ref="A1:F10"/>
  <sheetViews>
    <sheetView workbookViewId="0">
      <selection sqref="A1:C10"/>
    </sheetView>
  </sheetViews>
  <sheetFormatPr defaultRowHeight="14.4" x14ac:dyDescent="0.3"/>
  <cols>
    <col min="1" max="1" width="31.109375" customWidth="1"/>
    <col min="2" max="2" width="21.44140625" customWidth="1"/>
    <col min="3" max="3" width="28.33203125" customWidth="1"/>
    <col min="4" max="4" width="20.21875" customWidth="1"/>
    <col min="5" max="5" width="10.5546875" customWidth="1"/>
    <col min="6" max="6" width="9.44140625" customWidth="1"/>
  </cols>
  <sheetData>
    <row r="1" spans="1:6" x14ac:dyDescent="0.3">
      <c r="A1" s="5" t="s">
        <v>2</v>
      </c>
      <c r="B1" s="5" t="s">
        <v>5</v>
      </c>
      <c r="C1" s="5" t="s">
        <v>3</v>
      </c>
      <c r="D1" s="5" t="s">
        <v>0</v>
      </c>
      <c r="E1" s="5"/>
      <c r="F1" s="5"/>
    </row>
    <row r="2" spans="1:6" x14ac:dyDescent="0.3">
      <c r="A2" s="2" t="s">
        <v>10</v>
      </c>
      <c r="B2" s="2" t="s">
        <v>6</v>
      </c>
      <c r="C2" s="2">
        <v>80000</v>
      </c>
      <c r="D2">
        <f>C2*3/100</f>
        <v>2400</v>
      </c>
    </row>
    <row r="3" spans="1:6" x14ac:dyDescent="0.3">
      <c r="A3" s="2" t="s">
        <v>11</v>
      </c>
      <c r="B3" s="2" t="s">
        <v>9</v>
      </c>
      <c r="C3" s="2">
        <v>10000</v>
      </c>
      <c r="D3">
        <f t="shared" ref="D3:D10" si="0">C3*3/100</f>
        <v>300</v>
      </c>
    </row>
    <row r="4" spans="1:6" x14ac:dyDescent="0.3">
      <c r="A4" s="2" t="s">
        <v>10</v>
      </c>
      <c r="B4" s="2" t="s">
        <v>7</v>
      </c>
      <c r="C4" s="2">
        <v>10000</v>
      </c>
      <c r="D4">
        <f t="shared" si="0"/>
        <v>300</v>
      </c>
    </row>
    <row r="5" spans="1:6" x14ac:dyDescent="0.3">
      <c r="A5" s="2" t="s">
        <v>12</v>
      </c>
      <c r="B5" s="2" t="s">
        <v>16</v>
      </c>
      <c r="C5" s="2">
        <v>11000</v>
      </c>
      <c r="D5">
        <f t="shared" si="0"/>
        <v>330</v>
      </c>
    </row>
    <row r="6" spans="1:6" x14ac:dyDescent="0.3">
      <c r="A6" s="2" t="s">
        <v>13</v>
      </c>
      <c r="B6" s="2" t="s">
        <v>8</v>
      </c>
      <c r="C6" s="2">
        <v>12000</v>
      </c>
      <c r="D6">
        <f t="shared" si="0"/>
        <v>360</v>
      </c>
    </row>
    <row r="7" spans="1:6" x14ac:dyDescent="0.3">
      <c r="A7" s="2" t="s">
        <v>10</v>
      </c>
      <c r="B7" s="2" t="s">
        <v>17</v>
      </c>
      <c r="C7" s="2">
        <v>13000</v>
      </c>
      <c r="D7">
        <f t="shared" si="0"/>
        <v>390</v>
      </c>
    </row>
    <row r="8" spans="1:6" x14ac:dyDescent="0.3">
      <c r="A8" s="2" t="s">
        <v>14</v>
      </c>
      <c r="B8" s="2" t="s">
        <v>18</v>
      </c>
      <c r="C8" s="2">
        <v>14000</v>
      </c>
      <c r="D8">
        <f t="shared" si="0"/>
        <v>420</v>
      </c>
    </row>
    <row r="9" spans="1:6" x14ac:dyDescent="0.3">
      <c r="A9" s="2" t="s">
        <v>15</v>
      </c>
      <c r="B9" s="2" t="s">
        <v>6</v>
      </c>
      <c r="C9" s="2">
        <v>15000</v>
      </c>
      <c r="D9">
        <f t="shared" si="0"/>
        <v>450</v>
      </c>
    </row>
    <row r="10" spans="1:6" x14ac:dyDescent="0.3">
      <c r="A10" s="2" t="s">
        <v>13</v>
      </c>
      <c r="B10" s="2" t="s">
        <v>19</v>
      </c>
      <c r="C10" s="2">
        <v>16000</v>
      </c>
      <c r="D10">
        <f t="shared" si="0"/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537F-98B8-476B-BBE9-18BB5B3DB43F}">
  <dimension ref="A1:C10"/>
  <sheetViews>
    <sheetView tabSelected="1" workbookViewId="0">
      <selection activeCell="H14" sqref="A1:XFD1048576"/>
    </sheetView>
  </sheetViews>
  <sheetFormatPr defaultRowHeight="14.4" x14ac:dyDescent="0.3"/>
  <cols>
    <col min="1" max="1" width="18.21875" customWidth="1"/>
    <col min="2" max="2" width="19.6640625" customWidth="1"/>
    <col min="3" max="3" width="24.6640625" customWidth="1"/>
  </cols>
  <sheetData>
    <row r="1" spans="1:3" x14ac:dyDescent="0.3">
      <c r="A1" s="5" t="s">
        <v>2</v>
      </c>
      <c r="B1" s="5" t="s">
        <v>5</v>
      </c>
      <c r="C1" s="5" t="s">
        <v>3</v>
      </c>
    </row>
    <row r="2" spans="1:3" x14ac:dyDescent="0.3">
      <c r="A2" s="2" t="s">
        <v>10</v>
      </c>
      <c r="B2" s="2" t="s">
        <v>6</v>
      </c>
      <c r="C2" s="2">
        <v>80000</v>
      </c>
    </row>
    <row r="3" spans="1:3" x14ac:dyDescent="0.3">
      <c r="A3" s="2" t="s">
        <v>11</v>
      </c>
      <c r="B3" s="2" t="s">
        <v>9</v>
      </c>
      <c r="C3" s="2">
        <v>10000</v>
      </c>
    </row>
    <row r="4" spans="1:3" x14ac:dyDescent="0.3">
      <c r="A4" s="2" t="s">
        <v>10</v>
      </c>
      <c r="B4" s="2" t="s">
        <v>7</v>
      </c>
      <c r="C4" s="2">
        <v>10000</v>
      </c>
    </row>
    <row r="5" spans="1:3" x14ac:dyDescent="0.3">
      <c r="A5" s="2" t="s">
        <v>12</v>
      </c>
      <c r="B5" s="2" t="s">
        <v>16</v>
      </c>
      <c r="C5" s="2">
        <v>11000</v>
      </c>
    </row>
    <row r="6" spans="1:3" x14ac:dyDescent="0.3">
      <c r="A6" s="2" t="s">
        <v>13</v>
      </c>
      <c r="B6" s="2" t="s">
        <v>8</v>
      </c>
      <c r="C6" s="2">
        <v>12000</v>
      </c>
    </row>
    <row r="7" spans="1:3" x14ac:dyDescent="0.3">
      <c r="A7" s="2" t="s">
        <v>10</v>
      </c>
      <c r="B7" s="2" t="s">
        <v>17</v>
      </c>
      <c r="C7" s="2">
        <v>13000</v>
      </c>
    </row>
    <row r="8" spans="1:3" x14ac:dyDescent="0.3">
      <c r="A8" s="2" t="s">
        <v>14</v>
      </c>
      <c r="B8" s="2" t="s">
        <v>18</v>
      </c>
      <c r="C8" s="2">
        <v>14000</v>
      </c>
    </row>
    <row r="9" spans="1:3" x14ac:dyDescent="0.3">
      <c r="A9" s="2" t="s">
        <v>15</v>
      </c>
      <c r="B9" s="2" t="s">
        <v>6</v>
      </c>
      <c r="C9" s="2">
        <v>15000</v>
      </c>
    </row>
    <row r="10" spans="1:3" x14ac:dyDescent="0.3">
      <c r="A10" s="2" t="s">
        <v>13</v>
      </c>
      <c r="B10" s="2" t="s">
        <v>19</v>
      </c>
      <c r="C10" s="2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2025-08-25T13:59:51Z</dcterms:created>
  <dcterms:modified xsi:type="dcterms:W3CDTF">2026-01-21T10:19:42Z</dcterms:modified>
</cp:coreProperties>
</file>